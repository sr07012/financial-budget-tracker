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07278723-DBF4-49D4-AF86-046FA782BD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lanned Expenses" sheetId="1" r:id="rId1"/>
    <sheet name="Actual Expenses" sheetId="2" r:id="rId2"/>
    <sheet name="Expense Variances" sheetId="3" r:id="rId3"/>
    <sheet name="Expenses Analysis" sheetId="4" r:id="rId4"/>
  </sheets>
  <definedNames>
    <definedName name="MonthlyChart_Data1">OFFSET('Planned Expenses'!$C$34,0,0,1,MonthsWithActual)</definedName>
    <definedName name="MonthsWithActual">COUNTIF('Actual Expenses'!$C$34:$N$34,"&lt;&gt;"&amp;0)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O32" i="2"/>
  <c r="O31" i="2"/>
  <c r="O27" i="2"/>
  <c r="O26" i="2"/>
  <c r="O25" i="2"/>
  <c r="O24" i="2"/>
  <c r="O23" i="2"/>
  <c r="O22" i="2"/>
  <c r="O18" i="2"/>
  <c r="O17" i="2"/>
  <c r="O16" i="2"/>
  <c r="O15" i="2"/>
  <c r="O14" i="2"/>
  <c r="O13" i="2"/>
  <c r="O12" i="2"/>
  <c r="O11" i="2"/>
  <c r="O7" i="2"/>
  <c r="O6" i="2"/>
  <c r="O32" i="1"/>
  <c r="O31" i="1"/>
  <c r="O27" i="1"/>
  <c r="O26" i="1"/>
  <c r="O25" i="1"/>
  <c r="O24" i="1"/>
  <c r="O23" i="1"/>
  <c r="O22" i="1"/>
  <c r="O6" i="1"/>
  <c r="O7" i="1"/>
  <c r="O18" i="1"/>
  <c r="O17" i="1"/>
  <c r="O16" i="1"/>
  <c r="O15" i="1"/>
  <c r="O14" i="1"/>
  <c r="O13" i="1"/>
  <c r="O12" i="1"/>
  <c r="O11" i="1"/>
  <c r="E12" i="3"/>
  <c r="E9" i="2"/>
  <c r="D16" i="3"/>
  <c r="L24" i="3"/>
  <c r="C18" i="3"/>
  <c r="C20" i="1"/>
  <c r="E22" i="3"/>
  <c r="E11" i="3"/>
  <c r="G32" i="3"/>
  <c r="E31" i="3"/>
  <c r="I20" i="1"/>
  <c r="G15" i="3"/>
  <c r="O29" i="1"/>
  <c r="J15" i="3"/>
  <c r="E18" i="3"/>
  <c r="C20" i="2"/>
  <c r="H29" i="2"/>
  <c r="I4" i="2"/>
  <c r="I12" i="3"/>
  <c r="D12" i="3"/>
  <c r="J11" i="3"/>
  <c r="E23" i="3"/>
  <c r="D32" i="3"/>
  <c r="G29" i="1"/>
  <c r="F32" i="3"/>
  <c r="H6" i="3"/>
  <c r="H32" i="3"/>
  <c r="C15" i="3"/>
  <c r="G24" i="3"/>
  <c r="N15" i="3"/>
  <c r="H12" i="3"/>
  <c r="H4" i="2"/>
  <c r="M24" i="3"/>
  <c r="J20" i="2"/>
  <c r="F20" i="1"/>
  <c r="F4" i="1"/>
  <c r="K26" i="3"/>
  <c r="K4" i="1"/>
  <c r="L18" i="3"/>
  <c r="D17" i="3"/>
  <c r="K20" i="1"/>
  <c r="F13" i="3"/>
  <c r="I20" i="2"/>
  <c r="H7" i="3"/>
  <c r="J9" i="1"/>
  <c r="N12" i="3"/>
  <c r="J26" i="3"/>
  <c r="G12" i="3"/>
  <c r="N11" i="3"/>
  <c r="J16" i="3"/>
  <c r="K24" i="3"/>
  <c r="G6" i="3"/>
  <c r="E13" i="3"/>
  <c r="G25" i="3"/>
  <c r="K20" i="2"/>
  <c r="K17" i="3"/>
  <c r="I25" i="3"/>
  <c r="G27" i="3"/>
  <c r="E15" i="3"/>
  <c r="D23" i="3"/>
  <c r="H29" i="1"/>
  <c r="C11" i="3"/>
  <c r="F25" i="3"/>
  <c r="C32" i="3"/>
  <c r="F15" i="3"/>
  <c r="N9" i="2"/>
  <c r="M26" i="3"/>
  <c r="N6" i="3"/>
  <c r="K11" i="3"/>
  <c r="O9" i="2"/>
  <c r="K22" i="3"/>
  <c r="M20" i="2"/>
  <c r="D6" i="3"/>
  <c r="M14" i="3"/>
  <c r="N13" i="3"/>
  <c r="D15" i="3"/>
  <c r="M20" i="1"/>
  <c r="M31" i="3"/>
  <c r="I29" i="1"/>
  <c r="H31" i="3"/>
  <c r="C14" i="3"/>
  <c r="D18" i="3"/>
  <c r="M32" i="3"/>
  <c r="L14" i="3"/>
  <c r="F23" i="3"/>
  <c r="L29" i="1"/>
  <c r="F17" i="3"/>
  <c r="I27" i="3"/>
  <c r="N24" i="3"/>
  <c r="J22" i="3"/>
  <c r="D31" i="3"/>
  <c r="G13" i="3"/>
  <c r="E32" i="3"/>
  <c r="H11" i="3"/>
  <c r="E14" i="3"/>
  <c r="G9" i="2"/>
  <c r="C27" i="3"/>
  <c r="I31" i="3"/>
  <c r="N16" i="3"/>
  <c r="O29" i="2"/>
  <c r="K27" i="3"/>
  <c r="J7" i="3"/>
  <c r="K16" i="3"/>
  <c r="F9" i="2"/>
  <c r="L9" i="1"/>
  <c r="L4" i="2"/>
  <c r="C16" i="3"/>
  <c r="K9" i="1"/>
  <c r="H17" i="3"/>
  <c r="N7" i="3"/>
  <c r="F4" i="2"/>
  <c r="J13" i="3"/>
  <c r="D29" i="1"/>
  <c r="K29" i="2"/>
  <c r="C31" i="3"/>
  <c r="J17" i="3"/>
  <c r="N4" i="2"/>
  <c r="D24" i="3"/>
  <c r="L22" i="3"/>
  <c r="H20" i="1"/>
  <c r="N26" i="3"/>
  <c r="C9" i="2"/>
  <c r="D22" i="3"/>
  <c r="N25" i="3"/>
  <c r="C17" i="3"/>
  <c r="C29" i="1"/>
  <c r="J32" i="3"/>
  <c r="E20" i="1"/>
  <c r="C25" i="3"/>
  <c r="D29" i="2"/>
  <c r="L9" i="2"/>
  <c r="G4" i="1"/>
  <c r="I18" i="3"/>
  <c r="G9" i="1"/>
  <c r="L17" i="3"/>
  <c r="L13" i="3"/>
  <c r="E24" i="3"/>
  <c r="O20" i="2"/>
  <c r="K25" i="3"/>
  <c r="H18" i="3"/>
  <c r="J6" i="3"/>
  <c r="J12" i="3"/>
  <c r="I15" i="3"/>
  <c r="K31" i="3"/>
  <c r="H9" i="2"/>
  <c r="M4" i="2"/>
  <c r="M22" i="3"/>
  <c r="I14" i="3"/>
  <c r="M13" i="3"/>
  <c r="I17" i="3"/>
  <c r="F11" i="3"/>
  <c r="F24" i="3"/>
  <c r="H9" i="1"/>
  <c r="C9" i="1"/>
  <c r="F18" i="3"/>
  <c r="G20" i="2"/>
  <c r="C7" i="3"/>
  <c r="G26" i="3"/>
  <c r="N4" i="1"/>
  <c r="I23" i="3"/>
  <c r="D4" i="1"/>
  <c r="J4" i="1"/>
  <c r="K14" i="3"/>
  <c r="H4" i="1"/>
  <c r="N29" i="1"/>
  <c r="M9" i="2"/>
  <c r="C22" i="3"/>
  <c r="K23" i="3"/>
  <c r="H26" i="3"/>
  <c r="D11" i="3"/>
  <c r="F27" i="3"/>
  <c r="F20" i="2"/>
  <c r="M17" i="3"/>
  <c r="J25" i="3"/>
  <c r="D20" i="1"/>
  <c r="J4" i="2"/>
  <c r="C4" i="1"/>
  <c r="D7" i="3"/>
  <c r="I11" i="3"/>
  <c r="L16" i="3"/>
  <c r="G4" i="2"/>
  <c r="D9" i="1"/>
  <c r="G31" i="3"/>
  <c r="K32" i="3"/>
  <c r="D13" i="3"/>
  <c r="F26" i="3"/>
  <c r="L15" i="3"/>
  <c r="J9" i="2"/>
  <c r="E7" i="3"/>
  <c r="E4" i="2"/>
  <c r="F7" i="3"/>
  <c r="E4" i="1"/>
  <c r="H23" i="3"/>
  <c r="L26" i="3"/>
  <c r="I7" i="3"/>
  <c r="J14" i="3"/>
  <c r="L11" i="3"/>
  <c r="H27" i="3"/>
  <c r="K15" i="3"/>
  <c r="J29" i="2"/>
  <c r="M7" i="3"/>
  <c r="E26" i="3"/>
  <c r="N23" i="3"/>
  <c r="F31" i="3"/>
  <c r="L4" i="1"/>
  <c r="K18" i="3"/>
  <c r="N14" i="3"/>
  <c r="H15" i="3"/>
  <c r="N20" i="2"/>
  <c r="F22" i="3"/>
  <c r="L12" i="3"/>
  <c r="K4" i="2"/>
  <c r="H16" i="3"/>
  <c r="C29" i="2"/>
  <c r="C12" i="3"/>
  <c r="I32" i="3"/>
  <c r="I4" i="1"/>
  <c r="F29" i="2"/>
  <c r="M29" i="1"/>
  <c r="G18" i="3"/>
  <c r="E29" i="1"/>
  <c r="F16" i="3"/>
  <c r="H14" i="3"/>
  <c r="K29" i="1"/>
  <c r="G29" i="3"/>
  <c r="D29" i="3"/>
  <c r="L29" i="2"/>
  <c r="I9" i="1"/>
  <c r="C26" i="3"/>
  <c r="M23" i="3"/>
  <c r="N22" i="3"/>
  <c r="C24" i="3"/>
  <c r="M15" i="3"/>
  <c r="H13" i="3"/>
  <c r="H20" i="2"/>
  <c r="N20" i="1"/>
  <c r="E20" i="2"/>
  <c r="G11" i="3"/>
  <c r="H25" i="3"/>
  <c r="D4" i="2"/>
  <c r="L7" i="3"/>
  <c r="E16" i="3"/>
  <c r="I26" i="3"/>
  <c r="N29" i="2"/>
  <c r="C23" i="3"/>
  <c r="C4" i="2"/>
  <c r="M29" i="2"/>
  <c r="K12" i="3"/>
  <c r="O4" i="1"/>
  <c r="M4" i="1"/>
  <c r="E6" i="3"/>
  <c r="J29" i="1"/>
  <c r="D20" i="2"/>
  <c r="D25" i="3"/>
  <c r="J31" i="3"/>
  <c r="M25" i="3"/>
  <c r="G22" i="3"/>
  <c r="L31" i="3"/>
  <c r="K13" i="3"/>
  <c r="L27" i="3"/>
  <c r="I6" i="3"/>
  <c r="O20" i="1"/>
  <c r="E29" i="2"/>
  <c r="J23" i="3"/>
  <c r="M9" i="1"/>
  <c r="D27" i="3"/>
  <c r="J20" i="1"/>
  <c r="G7" i="3"/>
  <c r="F9" i="1"/>
  <c r="D26" i="3"/>
  <c r="F29" i="1"/>
  <c r="M11" i="3"/>
  <c r="G16" i="3"/>
  <c r="F12" i="3"/>
  <c r="N31" i="3"/>
  <c r="M6" i="3"/>
  <c r="L25" i="3"/>
  <c r="G17" i="3"/>
  <c r="I13" i="3"/>
  <c r="M18" i="3"/>
  <c r="K6" i="3"/>
  <c r="J27" i="3"/>
  <c r="L20" i="1"/>
  <c r="G14" i="3"/>
  <c r="G20" i="1"/>
  <c r="L32" i="3"/>
  <c r="J24" i="3"/>
  <c r="M12" i="3"/>
  <c r="D14" i="3"/>
  <c r="K9" i="2"/>
  <c r="I16" i="3"/>
  <c r="E27" i="3"/>
  <c r="E17" i="3"/>
  <c r="F14" i="3"/>
  <c r="L20" i="2"/>
  <c r="E9" i="1"/>
  <c r="O9" i="1"/>
  <c r="O4" i="2"/>
  <c r="I29" i="2"/>
  <c r="D9" i="2"/>
  <c r="N32" i="3"/>
  <c r="H22" i="3"/>
  <c r="N18" i="3"/>
  <c r="I9" i="2"/>
  <c r="I24" i="3"/>
  <c r="I22" i="3"/>
  <c r="E25" i="3"/>
  <c r="F29" i="3"/>
  <c r="H24" i="3"/>
  <c r="N9" i="1"/>
  <c r="G29" i="2"/>
  <c r="F6" i="3"/>
  <c r="M27" i="3"/>
  <c r="M20" i="3"/>
  <c r="M16" i="3"/>
  <c r="N27" i="3"/>
  <c r="K7" i="3"/>
  <c r="C13" i="3"/>
  <c r="M9" i="3"/>
  <c r="L6" i="3"/>
  <c r="N17" i="3"/>
  <c r="G23" i="3"/>
  <c r="J18" i="3"/>
  <c r="L23" i="3"/>
  <c r="G34" i="2"/>
  <c r="F34" i="2"/>
  <c r="E34" i="2"/>
  <c r="O25" i="3"/>
  <c r="I34" i="2"/>
  <c r="M34" i="2"/>
  <c r="D34" i="1"/>
  <c r="C34" i="1"/>
  <c r="O32" i="3"/>
  <c r="O27" i="3"/>
  <c r="O13" i="3"/>
  <c r="O15" i="3"/>
  <c r="J34" i="2"/>
  <c r="L34" i="1"/>
  <c r="O17" i="3"/>
  <c r="O16" i="3"/>
  <c r="I34" i="1"/>
  <c r="N34" i="1"/>
  <c r="L34" i="2"/>
  <c r="O34" i="2"/>
  <c r="K34" i="1"/>
  <c r="O11" i="3"/>
  <c r="O14" i="3"/>
  <c r="O12" i="3"/>
  <c r="M34" i="1"/>
  <c r="F34" i="1"/>
  <c r="O34" i="1"/>
  <c r="O22" i="3"/>
  <c r="N34" i="2"/>
  <c r="O18" i="3"/>
  <c r="O31" i="3"/>
  <c r="C34" i="2"/>
  <c r="H34" i="1"/>
  <c r="O26" i="3"/>
  <c r="O6" i="3"/>
  <c r="O24" i="3"/>
  <c r="O23" i="3"/>
  <c r="H34" i="2"/>
  <c r="K34" i="2"/>
  <c r="E34" i="1"/>
  <c r="J34" i="1"/>
  <c r="D34" i="2"/>
  <c r="O7" i="3"/>
  <c r="G34" i="1"/>
  <c r="K4" i="3"/>
  <c r="C20" i="3"/>
  <c r="C9" i="3"/>
  <c r="E20" i="3"/>
  <c r="K20" i="3"/>
  <c r="G9" i="3"/>
  <c r="F20" i="3"/>
  <c r="I9" i="3"/>
  <c r="N29" i="3"/>
  <c r="M4" i="3"/>
  <c r="D9" i="3"/>
  <c r="H29" i="3"/>
  <c r="H4" i="3"/>
  <c r="O20" i="3"/>
  <c r="H20" i="3"/>
  <c r="D4" i="3"/>
  <c r="M29" i="3"/>
  <c r="N4" i="3"/>
  <c r="O4" i="3"/>
  <c r="J20" i="3"/>
  <c r="E4" i="3"/>
  <c r="K29" i="3"/>
  <c r="G20" i="3"/>
  <c r="L4" i="3"/>
  <c r="C4" i="3"/>
  <c r="C29" i="3"/>
  <c r="H9" i="3"/>
  <c r="J29" i="3"/>
  <c r="G4" i="3"/>
  <c r="J4" i="3"/>
  <c r="L20" i="3"/>
  <c r="I20" i="3"/>
  <c r="F4" i="3"/>
  <c r="O29" i="3"/>
  <c r="E9" i="3"/>
  <c r="I29" i="3"/>
  <c r="D20" i="3"/>
  <c r="I4" i="3"/>
  <c r="L29" i="3"/>
  <c r="F9" i="3"/>
  <c r="O9" i="3"/>
  <c r="E29" i="3"/>
  <c r="L9" i="3"/>
  <c r="N20" i="3"/>
  <c r="K9" i="3"/>
  <c r="J9" i="3"/>
  <c r="N9" i="3"/>
  <c r="C34" i="3"/>
  <c r="I34" i="3"/>
  <c r="L34" i="3"/>
  <c r="N34" i="3"/>
  <c r="G34" i="3"/>
  <c r="M34" i="3"/>
  <c r="D34" i="3"/>
  <c r="F34" i="3"/>
  <c r="K34" i="3"/>
  <c r="E34" i="3"/>
  <c r="H34" i="3"/>
  <c r="J34" i="3"/>
  <c r="O34" i="3"/>
  <c r="B2" i="4"/>
  <c r="D13" i="4"/>
  <c r="C12" i="4"/>
  <c r="C14" i="4"/>
  <c r="D12" i="4"/>
  <c r="D15" i="4"/>
  <c r="C15" i="4"/>
  <c r="C13" i="4"/>
  <c r="D14" i="4"/>
  <c r="E13" i="4"/>
  <c r="F13" i="4"/>
  <c r="E15" i="4"/>
  <c r="F15" i="4"/>
  <c r="E12" i="4"/>
  <c r="F12" i="4"/>
  <c r="E14" i="4"/>
  <c r="F14" i="4"/>
</calcChain>
</file>

<file path=xl/sharedStrings.xml><?xml version="1.0" encoding="utf-8"?>
<sst xmlns="http://schemas.openxmlformats.org/spreadsheetml/2006/main" count="293" uniqueCount="67">
  <si>
    <t>PLANNED EXPENSES</t>
  </si>
  <si>
    <t>May</t>
  </si>
  <si>
    <t>Wages</t>
  </si>
  <si>
    <t>Benefits</t>
  </si>
  <si>
    <t>OFFICE COSTS</t>
  </si>
  <si>
    <t>Office lease</t>
  </si>
  <si>
    <t>Gas</t>
  </si>
  <si>
    <t>Electric</t>
  </si>
  <si>
    <t>Water</t>
  </si>
  <si>
    <t>Telephone</t>
  </si>
  <si>
    <t>Internet access</t>
  </si>
  <si>
    <t>Office supplies</t>
  </si>
  <si>
    <t>Security</t>
  </si>
  <si>
    <t>MARKETING COSTS</t>
  </si>
  <si>
    <t>Web site hosting</t>
  </si>
  <si>
    <t>Web site updates</t>
  </si>
  <si>
    <t>Collateral preparation</t>
  </si>
  <si>
    <t>Collateral printing</t>
  </si>
  <si>
    <t>Marketing events</t>
  </si>
  <si>
    <t>Miscellaneous expenses</t>
  </si>
  <si>
    <t>Training classes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</si>
  <si>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</si>
  <si>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</si>
  <si>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</si>
  <si>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</si>
  <si>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</si>
  <si>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</si>
  <si>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</si>
  <si>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</si>
  <si>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</si>
  <si>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</si>
  <si>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</si>
  <si>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</si>
  <si>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EMPLOYEE COSTS</t>
  </si>
  <si>
    <t>Travel costs</t>
  </si>
  <si>
    <t>TRAINING / TRAVEL</t>
  </si>
  <si>
    <t>ACTUAL EXPENSES</t>
  </si>
  <si>
    <t>EXPENSE VARIANCES</t>
  </si>
  <si>
    <t>MONTHLY TOTAL</t>
  </si>
  <si>
    <t>MONTHLY VARIANCE</t>
  </si>
  <si>
    <t>EXPENSES ANALYSIS</t>
  </si>
  <si>
    <t>CATEGORY</t>
  </si>
  <si>
    <t>Employee Costs</t>
  </si>
  <si>
    <t>Office Costs</t>
  </si>
  <si>
    <t>Marketing Costs</t>
  </si>
  <si>
    <t>Training / Travel</t>
  </si>
  <si>
    <t>VARIANCE</t>
  </si>
  <si>
    <t>VARIANCE %</t>
  </si>
  <si>
    <t xml:space="preserve"> PLANNED vs ACTUAL EXPENSES</t>
  </si>
  <si>
    <t>MONTHLY EXPENSES</t>
  </si>
  <si>
    <t xml:space="preserve">  Note: Negative values mean actual expense is higher than planned expense.</t>
  </si>
  <si>
    <t xml:space="preserve"> EMPLOYEE COSTS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</si>
  <si>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</si>
  <si>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</si>
  <si>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</si>
  <si>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</si>
  <si>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</si>
  <si>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</si>
  <si>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</si>
  <si>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</si>
  <si>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</si>
  <si>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</si>
  <si>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</si>
  <si>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</si>
  <si>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</si>
  <si>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TRAINING/TRAVEL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</si>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</sst>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22" x14ac:knownFonts="1">
    <font>
      <sz val="11"/>
      <color theme="1"/>
      <name val="Palatino Linotype"/>
      <family val="2"/>
      <scheme val="minor"/>
    </font>
    <font>
      <sz val="11"/>
      <color theme="1" tint="0.14999847407452621"/>
      <name val="Palatino Linotype"/>
      <family val="1"/>
      <scheme val="minor"/>
    </font>
    <font>
      <sz val="28"/>
      <color theme="1" tint="0.14999847407452621"/>
      <name val="Corbel"/>
      <family val="2"/>
      <scheme val="major"/>
    </font>
    <font>
      <sz val="18"/>
      <color theme="1" tint="0.14999847407452621"/>
      <name val="Corbel"/>
      <family val="2"/>
      <scheme val="major"/>
    </font>
    <font>
      <sz val="11"/>
      <color theme="1"/>
      <name val="Palatino Linotype"/>
      <family val="1"/>
      <scheme val="minor"/>
    </font>
    <font>
      <sz val="10"/>
      <color theme="1" tint="0.14999847407452621"/>
      <name val="Palatino Linotype"/>
      <family val="1"/>
      <scheme val="minor"/>
    </font>
    <font>
      <sz val="12"/>
      <color theme="1" tint="0.14999847407452621"/>
      <name val="Corbel"/>
      <family val="2"/>
      <scheme val="major"/>
    </font>
    <font>
      <sz val="12"/>
      <color theme="0"/>
      <name val="Corbel"/>
      <family val="2"/>
      <scheme val="major"/>
    </font>
    <font>
      <sz val="11"/>
      <color theme="1" tint="0.14999847407452621"/>
      <name val="Corbel"/>
      <family val="2"/>
      <scheme val="major"/>
    </font>
    <font>
      <sz val="10"/>
      <color theme="1" tint="0.14999847407452621"/>
      <name val="Corbel"/>
      <family val="2"/>
      <scheme val="major"/>
    </font>
    <font>
      <sz val="13"/>
      <color theme="1"/>
      <name val="Corbel"/>
      <family val="2"/>
      <scheme val="major"/>
    </font>
    <font>
      <sz val="10"/>
      <color theme="1" tint="0.34998626667073579"/>
      <name val="Corbel"/>
      <family val="2"/>
      <scheme val="major"/>
    </font>
    <font>
      <sz val="13"/>
      <color theme="1" tint="0.14999847407452621"/>
      <name val="Corbel"/>
      <family val="2"/>
      <scheme val="major"/>
    </font>
    <font>
      <b/>
      <sz val="28"/>
      <color theme="8" tint="-0.499984740745262"/>
      <name val="Corbel"/>
      <family val="2"/>
      <scheme val="major"/>
    </font>
    <font>
      <b/>
      <sz val="28"/>
      <color theme="9" tint="-0.499984740745262"/>
      <name val="Corbel"/>
      <family val="2"/>
      <scheme val="major"/>
    </font>
    <font>
      <b/>
      <sz val="28"/>
      <color theme="5" tint="-0.499984740745262"/>
      <name val="Corbel"/>
      <family val="2"/>
      <scheme val="major"/>
    </font>
    <font>
      <b/>
      <sz val="12"/>
      <color theme="0"/>
      <name val="Corbel"/>
      <family val="2"/>
      <scheme val="major"/>
    </font>
    <font>
      <b/>
      <sz val="13"/>
      <color theme="0"/>
      <name val="Corbel"/>
      <family val="2"/>
      <scheme val="major"/>
    </font>
    <font>
      <b/>
      <sz val="11"/>
      <color theme="0"/>
      <name val="Palatino Linotype"/>
      <family val="1"/>
      <scheme val="minor"/>
    </font>
    <font>
      <sz val="11"/>
      <color theme="1" tint="0.14999847407452621"/>
      <name val="Palatino Linotype"/>
      <family val="1"/>
      <scheme val="minor"/>
    </font>
    <font>
      <sz val="11"/>
      <color theme="1"/>
      <name val="Palatino Linotype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79998168889431442"/>
      </right>
      <top/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0"/>
      </top>
      <bottom style="thin">
        <color theme="0"/>
      </bottom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/>
      <diagonal/>
    </border>
    <border>
      <left/>
      <right style="thin">
        <color theme="4" tint="0.59996337778862885"/>
      </right>
      <top/>
      <bottom style="thin">
        <color theme="0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0"/>
      </bottom>
      <diagonal/>
    </border>
    <border>
      <left style="thin">
        <color theme="4" tint="0.59996337778862885"/>
      </left>
      <right/>
      <top/>
      <bottom style="thin">
        <color theme="0"/>
      </bottom>
      <diagonal/>
    </border>
    <border>
      <left/>
      <right style="thin">
        <color theme="4" tint="0.79998168889431442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9" tint="0.79998168889431442"/>
      </right>
      <top style="thin">
        <color theme="0"/>
      </top>
      <bottom style="thin">
        <color theme="0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0"/>
      </top>
      <bottom style="thin">
        <color theme="0"/>
      </bottom>
      <diagonal/>
    </border>
    <border>
      <left style="thin">
        <color theme="9" tint="0.79998168889431442"/>
      </left>
      <right/>
      <top style="thin">
        <color theme="0"/>
      </top>
      <bottom style="thin">
        <color theme="0"/>
      </bottom>
      <diagonal/>
    </border>
    <border>
      <left/>
      <right style="thin">
        <color theme="9" tint="0.79998168889431442"/>
      </right>
      <top/>
      <bottom/>
      <diagonal/>
    </border>
    <border>
      <left style="thin">
        <color theme="9" tint="0.79998168889431442"/>
      </left>
      <right style="thin">
        <color theme="9" tint="0.79998168889431442"/>
      </right>
      <top/>
      <bottom/>
      <diagonal/>
    </border>
    <border>
      <left style="thin">
        <color theme="9" tint="0.79998168889431442"/>
      </left>
      <right/>
      <top/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 style="thin">
        <color theme="0"/>
      </top>
      <bottom style="thin">
        <color theme="0"/>
      </bottom>
      <diagonal/>
    </border>
    <border>
      <left style="thin">
        <color theme="9" tint="0.39994506668294322"/>
      </left>
      <right/>
      <top style="thin">
        <color theme="0"/>
      </top>
      <bottom style="thin">
        <color theme="0"/>
      </bottom>
      <diagonal/>
    </border>
    <border>
      <left style="thin">
        <color theme="9" tint="0.39994506668294322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5" tint="0.79998168889431442"/>
      </right>
      <top/>
      <bottom/>
      <diagonal/>
    </border>
    <border>
      <left style="thin">
        <color theme="5" tint="0.79998168889431442"/>
      </left>
      <right style="thin">
        <color theme="5" tint="0.79998168889431442"/>
      </right>
      <top/>
      <bottom/>
      <diagonal/>
    </border>
    <border>
      <left style="thin">
        <color theme="5" tint="0.79998168889431442"/>
      </left>
      <right/>
      <top/>
      <bottom/>
      <diagonal/>
    </border>
    <border>
      <left style="thin">
        <color theme="5" tint="0.59996337778862885"/>
      </left>
      <right/>
      <top style="thin">
        <color theme="0"/>
      </top>
      <bottom style="thin">
        <color theme="0"/>
      </bottom>
      <diagonal/>
    </border>
    <border>
      <left style="thin">
        <color theme="5" tint="0.59996337778862885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5" tint="0.59996337778862885"/>
      </right>
      <top/>
      <bottom style="thin">
        <color theme="0"/>
      </bottom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0"/>
      </bottom>
      <diagonal/>
    </border>
    <border>
      <left style="thin">
        <color theme="5" tint="0.59996337778862885"/>
      </left>
      <right/>
      <top/>
      <bottom style="thin">
        <color theme="0"/>
      </bottom>
      <diagonal/>
    </border>
    <border>
      <left/>
      <right style="thin">
        <color theme="9" tint="0.59996337778862885"/>
      </right>
      <top/>
      <bottom style="thin">
        <color theme="0"/>
      </bottom>
      <diagonal/>
    </border>
    <border>
      <left style="thin">
        <color theme="9" tint="0.59996337778862885"/>
      </left>
      <right style="thin">
        <color theme="9" tint="0.59996337778862885"/>
      </right>
      <top/>
      <bottom style="thin">
        <color theme="0"/>
      </bottom>
      <diagonal/>
    </border>
    <border>
      <left style="thin">
        <color theme="9" tint="0.59996337778862885"/>
      </left>
      <right/>
      <top/>
      <bottom style="thin">
        <color theme="0"/>
      </bottom>
      <diagonal/>
    </border>
    <border>
      <left/>
      <right style="thin">
        <color theme="9" tint="0.59996337778862885"/>
      </right>
      <top/>
      <bottom/>
      <diagonal/>
    </border>
    <border>
      <left style="thin">
        <color theme="9" tint="0.59996337778862885"/>
      </left>
      <right style="thin">
        <color theme="9" tint="0.59996337778862885"/>
      </right>
      <top/>
      <bottom/>
      <diagonal/>
    </border>
    <border>
      <left style="thin">
        <color theme="9" tint="0.59996337778862885"/>
      </left>
      <right/>
      <top/>
      <bottom/>
      <diagonal/>
    </border>
    <border>
      <left/>
      <right/>
      <top/>
      <bottom style="thin">
        <color theme="0" tint="-0.24994659260841701"/>
      </bottom>
      <diagonal/>
    </border>
  </borders>
  <cellStyleXfs count="3">
    <xf numFmtId="0" fontId="0" fillId="0" borderId="0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1" fillId="0" borderId="2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4" fillId="3" borderId="2" xfId="0" applyNumberFormat="1" applyFont="1" applyFill="1" applyBorder="1" applyAlignment="1">
      <alignment horizontal="left" vertical="center"/>
    </xf>
    <xf numFmtId="164" fontId="4" fillId="3" borderId="8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4" fillId="3" borderId="9" xfId="0" applyNumberFormat="1" applyFont="1" applyFill="1" applyBorder="1" applyAlignment="1">
      <alignment horizontal="left" vertical="center"/>
    </xf>
    <xf numFmtId="164" fontId="4" fillId="3" borderId="1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indent="2"/>
    </xf>
    <xf numFmtId="0" fontId="10" fillId="3" borderId="15" xfId="0" applyFont="1" applyFill="1" applyBorder="1" applyAlignment="1">
      <alignment horizontal="left" vertical="center" indent="1"/>
    </xf>
    <xf numFmtId="0" fontId="10" fillId="3" borderId="7" xfId="0" applyFont="1" applyFill="1" applyBorder="1" applyAlignment="1">
      <alignment horizontal="left" vertical="center" indent="1"/>
    </xf>
    <xf numFmtId="164" fontId="1" fillId="0" borderId="20" xfId="0" applyNumberFormat="1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 indent="2"/>
    </xf>
    <xf numFmtId="0" fontId="1" fillId="0" borderId="7" xfId="0" applyFont="1" applyBorder="1" applyAlignment="1">
      <alignment horizontal="left" vertical="center" indent="2"/>
    </xf>
    <xf numFmtId="0" fontId="10" fillId="9" borderId="21" xfId="0" applyFont="1" applyFill="1" applyBorder="1" applyAlignment="1">
      <alignment horizontal="left" vertical="center" indent="1"/>
    </xf>
    <xf numFmtId="164" fontId="4" fillId="9" borderId="22" xfId="0" applyNumberFormat="1" applyFont="1" applyFill="1" applyBorder="1" applyAlignment="1">
      <alignment horizontal="left" vertical="center"/>
    </xf>
    <xf numFmtId="164" fontId="4" fillId="9" borderId="23" xfId="0" applyNumberFormat="1" applyFont="1" applyFill="1" applyBorder="1" applyAlignment="1">
      <alignment horizontal="left" vertical="center"/>
    </xf>
    <xf numFmtId="0" fontId="1" fillId="0" borderId="24" xfId="0" applyFont="1" applyBorder="1" applyAlignment="1">
      <alignment horizontal="left" vertical="center" indent="2"/>
    </xf>
    <xf numFmtId="164" fontId="1" fillId="0" borderId="25" xfId="0" applyNumberFormat="1" applyFont="1" applyBorder="1" applyAlignment="1">
      <alignment horizontal="left" vertical="center"/>
    </xf>
    <xf numFmtId="164" fontId="1" fillId="0" borderId="26" xfId="0" applyNumberFormat="1" applyFont="1" applyBorder="1" applyAlignment="1">
      <alignment horizontal="left" vertical="center"/>
    </xf>
    <xf numFmtId="164" fontId="4" fillId="3" borderId="28" xfId="0" applyNumberFormat="1" applyFont="1" applyFill="1" applyBorder="1" applyAlignment="1">
      <alignment horizontal="left" vertical="center"/>
    </xf>
    <xf numFmtId="164" fontId="1" fillId="0" borderId="27" xfId="0" applyNumberFormat="1" applyFont="1" applyBorder="1" applyAlignment="1">
      <alignment horizontal="left" vertical="center"/>
    </xf>
    <xf numFmtId="164" fontId="4" fillId="3" borderId="27" xfId="0" applyNumberFormat="1" applyFont="1" applyFill="1" applyBorder="1" applyAlignment="1">
      <alignment horizontal="left" vertical="center"/>
    </xf>
    <xf numFmtId="164" fontId="4" fillId="9" borderId="29" xfId="0" applyNumberFormat="1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 indent="2"/>
    </xf>
    <xf numFmtId="164" fontId="1" fillId="0" borderId="33" xfId="0" applyNumberFormat="1" applyFont="1" applyBorder="1" applyAlignment="1">
      <alignment horizontal="left" vertical="center"/>
    </xf>
    <xf numFmtId="164" fontId="1" fillId="0" borderId="34" xfId="0" applyNumberFormat="1" applyFont="1" applyBorder="1" applyAlignment="1">
      <alignment horizontal="left" vertical="center"/>
    </xf>
    <xf numFmtId="164" fontId="1" fillId="0" borderId="36" xfId="0" applyNumberFormat="1" applyFont="1" applyBorder="1" applyAlignment="1">
      <alignment horizontal="left" vertical="center"/>
    </xf>
    <xf numFmtId="0" fontId="10" fillId="6" borderId="37" xfId="0" applyFont="1" applyFill="1" applyBorder="1" applyAlignment="1">
      <alignment horizontal="left" vertical="center" indent="1"/>
    </xf>
    <xf numFmtId="164" fontId="4" fillId="6" borderId="1" xfId="0" applyNumberFormat="1" applyFont="1" applyFill="1" applyBorder="1" applyAlignment="1">
      <alignment horizontal="left" vertical="center"/>
    </xf>
    <xf numFmtId="164" fontId="4" fillId="6" borderId="38" xfId="0" applyNumberFormat="1" applyFont="1" applyFill="1" applyBorder="1" applyAlignment="1">
      <alignment horizontal="left" vertical="center"/>
    </xf>
    <xf numFmtId="164" fontId="4" fillId="6" borderId="35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7" fillId="7" borderId="41" xfId="0" applyFont="1" applyFill="1" applyBorder="1" applyAlignment="1">
      <alignment horizontal="left" vertical="center" indent="2"/>
    </xf>
    <xf numFmtId="0" fontId="7" fillId="8" borderId="44" xfId="0" applyFont="1" applyFill="1" applyBorder="1" applyAlignment="1">
      <alignment horizontal="left" vertical="center" indent="2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17" xfId="0" applyFont="1" applyBorder="1" applyAlignment="1">
      <alignment horizontal="left" vertical="center" indent="1"/>
    </xf>
    <xf numFmtId="164" fontId="5" fillId="0" borderId="18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 indent="1"/>
    </xf>
    <xf numFmtId="164" fontId="5" fillId="4" borderId="5" xfId="0" applyNumberFormat="1" applyFont="1" applyFill="1" applyBorder="1" applyAlignment="1">
      <alignment horizontal="center" vertical="center"/>
    </xf>
    <xf numFmtId="10" fontId="5" fillId="4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2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4" fontId="3" fillId="0" borderId="20" xfId="0" applyNumberFormat="1" applyFont="1" applyBorder="1" applyAlignment="1">
      <alignment horizontal="left" vertical="center"/>
    </xf>
    <xf numFmtId="164" fontId="12" fillId="0" borderId="20" xfId="0" applyNumberFormat="1" applyFont="1" applyBorder="1" applyAlignment="1">
      <alignment horizontal="left" vertical="center" wrapText="1"/>
    </xf>
    <xf numFmtId="164" fontId="5" fillId="0" borderId="20" xfId="0" applyNumberFormat="1" applyFont="1" applyBorder="1" applyAlignment="1">
      <alignment horizontal="left" vertical="center"/>
    </xf>
    <xf numFmtId="0" fontId="9" fillId="0" borderId="50" xfId="0" applyFont="1" applyBorder="1" applyAlignment="1">
      <alignment horizontal="center" vertical="center" wrapText="1"/>
    </xf>
    <xf numFmtId="164" fontId="9" fillId="0" borderId="5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164" fontId="16" fillId="2" borderId="13" xfId="0" applyNumberFormat="1" applyFont="1" applyFill="1" applyBorder="1" applyAlignment="1">
      <alignment horizontal="center" vertical="center"/>
    </xf>
    <xf numFmtId="164" fontId="16" fillId="2" borderId="14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 indent="1"/>
    </xf>
    <xf numFmtId="164" fontId="18" fillId="2" borderId="3" xfId="0" applyNumberFormat="1" applyFont="1" applyFill="1" applyBorder="1" applyAlignment="1">
      <alignment horizontal="left" vertical="center"/>
    </xf>
    <xf numFmtId="164" fontId="18" fillId="2" borderId="11" xfId="0" applyNumberFormat="1" applyFont="1" applyFill="1" applyBorder="1" applyAlignment="1">
      <alignment horizontal="left" vertical="center"/>
    </xf>
    <xf numFmtId="164" fontId="16" fillId="8" borderId="45" xfId="0" applyNumberFormat="1" applyFont="1" applyFill="1" applyBorder="1" applyAlignment="1">
      <alignment horizontal="center" vertical="center"/>
    </xf>
    <xf numFmtId="164" fontId="16" fillId="8" borderId="46" xfId="0" applyNumberFormat="1" applyFont="1" applyFill="1" applyBorder="1" applyAlignment="1">
      <alignment horizontal="center" vertical="center"/>
    </xf>
    <xf numFmtId="0" fontId="17" fillId="8" borderId="47" xfId="0" applyFont="1" applyFill="1" applyBorder="1" applyAlignment="1">
      <alignment horizontal="left" vertical="center" indent="1"/>
    </xf>
    <xf numFmtId="164" fontId="18" fillId="8" borderId="48" xfId="0" applyNumberFormat="1" applyFont="1" applyFill="1" applyBorder="1" applyAlignment="1">
      <alignment horizontal="left" vertical="center"/>
    </xf>
    <xf numFmtId="164" fontId="18" fillId="8" borderId="49" xfId="0" applyNumberFormat="1" applyFont="1" applyFill="1" applyBorder="1" applyAlignment="1">
      <alignment horizontal="left" vertical="center"/>
    </xf>
    <xf numFmtId="164" fontId="16" fillId="7" borderId="42" xfId="0" applyNumberFormat="1" applyFont="1" applyFill="1" applyBorder="1" applyAlignment="1">
      <alignment horizontal="center" vertical="center"/>
    </xf>
    <xf numFmtId="164" fontId="16" fillId="7" borderId="43" xfId="0" applyNumberFormat="1" applyFont="1" applyFill="1" applyBorder="1" applyAlignment="1">
      <alignment horizontal="center" vertical="center"/>
    </xf>
    <xf numFmtId="0" fontId="17" fillId="5" borderId="39" xfId="0" applyFont="1" applyFill="1" applyBorder="1" applyAlignment="1">
      <alignment horizontal="left" vertical="center" indent="1"/>
    </xf>
    <xf numFmtId="164" fontId="18" fillId="5" borderId="40" xfId="0" applyNumberFormat="1" applyFont="1" applyFill="1" applyBorder="1" applyAlignment="1">
      <alignment horizontal="left" vertical="center"/>
    </xf>
    <xf numFmtId="164" fontId="18" fillId="5" borderId="31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 indent="1"/>
    </xf>
    <xf numFmtId="164" fontId="19" fillId="0" borderId="3" xfId="0" applyNumberFormat="1" applyFont="1" applyBorder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</cellXfs>
  <cellStyles count="3">
    <cellStyle name="Hyperlink 2" xfId="2" xr:uid="{7B1AA19C-7705-4DC7-BBA4-03761F074FB4}"/>
    <cellStyle name="Normal" xfId="0" builtinId="0"/>
    <cellStyle name="Normal 2" xfId="1" xr:uid="{48406626-5121-43BC-B38F-EBA223127AAD}"/>
  </cellStyles>
  <dxfs count="246"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theme="5" tint="-0.499984740745262"/>
        </patternFill>
      </fill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family val="1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9" tint="0.79998168889431442"/>
        </left>
        <right style="thin">
          <color theme="9" tint="0.7999816888943144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family val="1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9" tint="0.79998168889431442"/>
        </left>
        <right style="thin">
          <color theme="9" tint="0.7999816888943144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5" tint="0.59996337778862885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5" tint="0.59996337778862885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5" tint="0.59996337778862885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5" tint="0.59996337778862885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5" tint="0.79998168889431442"/>
        </left>
        <right style="thin">
          <color theme="5" tint="0.79998168889431442"/>
        </right>
        <top/>
        <bottom/>
        <vertical style="thin">
          <color theme="5" tint="0.79998168889431442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9" tint="0.79998168889431442"/>
        </left>
        <right style="thin">
          <color theme="9" tint="0.79998168889431442"/>
        </right>
        <top/>
        <bottom/>
        <vertical style="thin">
          <color theme="9" tint="0.79998168889431442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/>
        <bottom/>
        <vertical style="thin">
          <color theme="4" tint="0.79998168889431442"/>
        </vertical>
        <horizontal style="thin">
          <color auto="1"/>
        </horizontal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</dxfs>
  <tableStyles count="2" defaultTableStyle="TableStyleMedium2" defaultPivotStyle="PivotStyleLight16">
    <tableStyle name="List" pivot="0" count="6" xr9:uid="{6D6BEF57-4AAE-44B1-ABB3-91764BA8624B}">
      <tableStyleElement type="headerRow" dxfId="245"/>
      <tableStyleElement type="totalRow" dxfId="244"/>
      <tableStyleElement type="firstColumn" dxfId="243"/>
      <tableStyleElement type="lastColumn" dxfId="242"/>
      <tableStyleElement type="firstRowStripe" dxfId="241"/>
      <tableStyleElement type="firstColumnStripe" dxfId="240"/>
    </tableStyle>
    <tableStyle name="TableStyleLight4 2" pivot="0" count="7" xr9:uid="{00000000-0011-0000-FFFF-FFFF00000000}">
      <tableStyleElement type="wholeTable" dxfId="239"/>
      <tableStyleElement type="headerRow" dxfId="238"/>
      <tableStyleElement type="totalRow" dxfId="237"/>
      <tableStyleElement type="firstColumn" dxfId="236"/>
      <tableStyleElement type="lastColumn" dxfId="235"/>
      <tableStyleElement type="firstRowStripe" dxfId="234"/>
      <tableStyleElement type="firstColumnStripe" dxfId="2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6452775492616"/>
          <c:y val="0.12970588631470853"/>
          <c:w val="0.78535472245073856"/>
          <c:h val="0.86566478852482009"/>
        </c:manualLayout>
      </c:layout>
      <c:barChart>
        <c:barDir val="bar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'Expenses Analysis'!$B$12:$B$15</c:f>
              <c:strCache>
                <c:ptCount val="4"/>
                <c:pt idx="0">
                  <c:v>Employee Costs</c:v>
                </c:pt>
                <c:pt idx="1">
                  <c:v>Office Costs</c:v>
                </c:pt>
                <c:pt idx="2">
                  <c:v>Marketing Costs</c:v>
                </c:pt>
                <c:pt idx="3">
                  <c:v>Training / Travel</c:v>
                </c:pt>
              </c:strCache>
            </c:strRef>
          </c:cat>
          <c:val>
            <c:numRef>
              <c:f>'Expenses Analysis'!$C$12:$C$15</c:f>
              <c:numCache>
                <c:formatCode>_("$"* #,##0.00_);_("$"* \(#,##0.00\);_("$"* "-"??_);_(@_)</c:formatCode>
                <c:ptCount val="4"/>
                <c:pt idx="0">
                  <c:v>1355090</c:v>
                </c:pt>
                <c:pt idx="1">
                  <c:v>138740</c:v>
                </c:pt>
                <c:pt idx="2">
                  <c:v>67800</c:v>
                </c:pt>
                <c:pt idx="3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D-4BB3-825C-C2B0992236D0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'Expenses Analysis'!$B$12:$B$15</c:f>
              <c:strCache>
                <c:ptCount val="4"/>
                <c:pt idx="0">
                  <c:v>Employee Costs</c:v>
                </c:pt>
                <c:pt idx="1">
                  <c:v>Office Costs</c:v>
                </c:pt>
                <c:pt idx="2">
                  <c:v>Marketing Costs</c:v>
                </c:pt>
                <c:pt idx="3">
                  <c:v>Training / Travel</c:v>
                </c:pt>
              </c:strCache>
            </c:strRef>
          </c:cat>
          <c:val>
            <c:numRef>
              <c:f>'Expenses Analysis'!$D$12:$D$15</c:f>
              <c:numCache>
                <c:formatCode>_("$"* #,##0.00_);_("$"* \(#,##0.00\);_("$"* "-"??_);_(@_)</c:formatCode>
                <c:ptCount val="4"/>
                <c:pt idx="0">
                  <c:v>1324150</c:v>
                </c:pt>
                <c:pt idx="1">
                  <c:v>139583</c:v>
                </c:pt>
                <c:pt idx="2">
                  <c:v>69039</c:v>
                </c:pt>
                <c:pt idx="3">
                  <c:v>45400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D-4BB3-825C-C2B0992236D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55670640"/>
        <c:axId val="555672608"/>
      </c:barChart>
      <c:catAx>
        <c:axId val="555670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55672608"/>
        <c:crosses val="autoZero"/>
        <c:auto val="1"/>
        <c:lblAlgn val="ctr"/>
        <c:lblOffset val="100"/>
        <c:noMultiLvlLbl val="0"/>
      </c:catAx>
      <c:valAx>
        <c:axId val="555672608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556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462686567164179E-3"/>
          <c:y val="0"/>
          <c:w val="0.23230305167077997"/>
          <c:h val="9.098317595872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j-lt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17249927092448"/>
          <c:y val="6.9838375466224623E-2"/>
          <c:w val="0.79724725381549533"/>
          <c:h val="0.92744535475575673"/>
        </c:manualLayout>
      </c:layout>
      <c:barChart>
        <c:barDir val="bar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'Planned Expenses'!$C$3:$N$3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'Planned Expenses'!$C$34:$N$34</c:f>
              <c:numCache>
                <c:formatCode>_("$"* #,##0.00_);_("$"* \(#,##0.00\);_("$"* "-"??_);_(@_)</c:formatCode>
                <c:ptCount val="12"/>
                <c:pt idx="0">
                  <c:v>131420</c:v>
                </c:pt>
                <c:pt idx="1">
                  <c:v>126820</c:v>
                </c:pt>
                <c:pt idx="2">
                  <c:v>126820</c:v>
                </c:pt>
                <c:pt idx="3">
                  <c:v>137695</c:v>
                </c:pt>
                <c:pt idx="4">
                  <c:v>129695</c:v>
                </c:pt>
                <c:pt idx="5">
                  <c:v>130495</c:v>
                </c:pt>
                <c:pt idx="6">
                  <c:v>134695</c:v>
                </c:pt>
                <c:pt idx="7">
                  <c:v>138918</c:v>
                </c:pt>
                <c:pt idx="8">
                  <c:v>135918</c:v>
                </c:pt>
                <c:pt idx="9">
                  <c:v>140918</c:v>
                </c:pt>
                <c:pt idx="10">
                  <c:v>136218</c:v>
                </c:pt>
                <c:pt idx="11">
                  <c:v>140018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7-4A19-AA2E-41FE6E1BB9CF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'Planned Expenses'!$C$3:$N$3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'Actual Expenses'!$C$34:$N$34</c:f>
              <c:numCache>
                <c:formatCode>_("$"* #,##0.00_);_("$"* \(#,##0.00\);_("$"* "-"??_);_(@_)</c:formatCode>
                <c:ptCount val="12"/>
                <c:pt idx="0">
                  <c:v>129682</c:v>
                </c:pt>
                <c:pt idx="1">
                  <c:v>127804</c:v>
                </c:pt>
                <c:pt idx="2">
                  <c:v>125565</c:v>
                </c:pt>
                <c:pt idx="3">
                  <c:v>137394</c:v>
                </c:pt>
                <c:pt idx="4">
                  <c:v>128255</c:v>
                </c:pt>
                <c:pt idx="5">
                  <c:v>134239</c:v>
                </c:pt>
                <c:pt idx="6">
                  <c:v>136570</c:v>
                </c:pt>
                <c:pt idx="7">
                  <c:v>127384</c:v>
                </c:pt>
                <c:pt idx="8">
                  <c:v>137139</c:v>
                </c:pt>
                <c:pt idx="9">
                  <c:v>134230</c:v>
                </c:pt>
                <c:pt idx="10">
                  <c:v>128520</c:v>
                </c:pt>
                <c:pt idx="11">
                  <c:v>131390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F7-4A19-AA2E-41FE6E1BB9C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38010624"/>
        <c:axId val="438017184"/>
      </c:barChart>
      <c:catAx>
        <c:axId val="438010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438017184"/>
        <c:crosses val="autoZero"/>
        <c:auto val="1"/>
        <c:lblAlgn val="ctr"/>
        <c:lblOffset val="100"/>
        <c:noMultiLvlLbl val="0"/>
      </c:catAx>
      <c:valAx>
        <c:axId val="438017184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3801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0.3196241383584752"/>
          <c:h val="4.554687749051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542633</xdr:rowOff>
    </xdr:from>
    <xdr:to>
      <xdr:col>15</xdr:col>
      <xdr:colOff>2931</xdr:colOff>
      <xdr:row>1</xdr:row>
      <xdr:rowOff>9525</xdr:rowOff>
    </xdr:to>
    <xdr:sp macro="" textlink="">
      <xdr:nvSpPr>
        <xdr:cNvPr id="4" name="Rectangle 3" descr="Horizontal bar for design" title="Horizontal Bar">
          <a:extLst>
            <a:ext uri="{FF2B5EF4-FFF2-40B4-BE49-F238E27FC236}">
              <a16:creationId xmlns:a16="http://schemas.microsoft.com/office/drawing/2014/main" id="{00000000-0008-0000-0000-000004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23825" y="1095083"/>
          <a:ext cx="16424031" cy="47917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542633</xdr:rowOff>
    </xdr:from>
    <xdr:to>
      <xdr:col>15</xdr:col>
      <xdr:colOff>2931</xdr:colOff>
      <xdr:row>1</xdr:row>
      <xdr:rowOff>9525</xdr:rowOff>
    </xdr:to>
    <xdr:sp macro="" textlink="">
      <xdr:nvSpPr>
        <xdr:cNvPr id="5" name="Rectangle 4" descr="Horizontal bar for design" title="Horizontal Bar">
          <a:extLst>
            <a:ext uri="{FF2B5EF4-FFF2-40B4-BE49-F238E27FC236}">
              <a16:creationId xmlns:a16="http://schemas.microsoft.com/office/drawing/2014/main" id="{00000000-0008-0000-0100-000005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23825" y="1095083"/>
          <a:ext cx="16424031" cy="47917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542633</xdr:rowOff>
    </xdr:from>
    <xdr:to>
      <xdr:col>15</xdr:col>
      <xdr:colOff>2931</xdr:colOff>
      <xdr:row>1</xdr:row>
      <xdr:rowOff>9525</xdr:rowOff>
    </xdr:to>
    <xdr:sp macro="" textlink="">
      <xdr:nvSpPr>
        <xdr:cNvPr id="2" name="Rectangle 1" descr="Horizontal bar for design" title="Horizontal Bar">
          <a:extLst>
            <a:ext uri="{FF2B5EF4-FFF2-40B4-BE49-F238E27FC236}">
              <a16:creationId xmlns:a16="http://schemas.microsoft.com/office/drawing/2014/main" id="{00000000-0008-0000-02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23825" y="1095083"/>
          <a:ext cx="16424031" cy="47917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0</xdr:colOff>
      <xdr:row>9</xdr:row>
      <xdr:rowOff>1</xdr:rowOff>
    </xdr:to>
    <xdr:graphicFrame macro="">
      <xdr:nvGraphicFramePr>
        <xdr:cNvPr id="4" name="Chart 3" descr="Planned versus actual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7" name="Chart 6" descr="Monthly expenses 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0</xdr:row>
      <xdr:rowOff>542633</xdr:rowOff>
    </xdr:from>
    <xdr:to>
      <xdr:col>12</xdr:col>
      <xdr:colOff>0</xdr:colOff>
      <xdr:row>1</xdr:row>
      <xdr:rowOff>9525</xdr:rowOff>
    </xdr:to>
    <xdr:sp macro="" textlink="">
      <xdr:nvSpPr>
        <xdr:cNvPr id="5" name="Rectangle 4" descr="Horizontal bar for design" title="Horizontal Bar">
          <a:extLst>
            <a:ext uri="{FF2B5EF4-FFF2-40B4-BE49-F238E27FC236}">
              <a16:creationId xmlns:a16="http://schemas.microsoft.com/office/drawing/2014/main" id="{00000000-0008-0000-0300-000005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23825" y="1095083"/>
          <a:ext cx="9620250" cy="47917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_EmployeeCosts" displayName="Plan_EmployeeCosts" ref="B5:O7" totalsRowShown="0" headerRowDxfId="232" dataDxfId="231">
  <autoFilter ref="B5:O7" xr:uid="{00000000-0009-0000-0100-000001000000}"/>
  <tableColumns count="14">
    <tableColumn id="1" xr3:uid="{00000000-0010-0000-0000-000001000000}" name=" EMPLOYEE COSTS" dataDxfId="230"/>
    <tableColumn id="2" xr3:uid="{00000000-0010-0000-0000-000002000000}" name="JANUARY" dataDxfId="229" totalsRowDxfId="228"/>
    <tableColumn id="3" xr3:uid="{00000000-0010-0000-0000-000003000000}" name="FEBRUARY" dataDxfId="227" totalsRowDxfId="226"/>
    <tableColumn id="4" xr3:uid="{00000000-0010-0000-0000-000004000000}" name="MARCH" dataDxfId="225" totalsRowDxfId="224"/>
    <tableColumn id="5" xr3:uid="{00000000-0010-0000-0000-000005000000}" name="APRIL" dataDxfId="223" totalsRowDxfId="222"/>
    <tableColumn id="6" xr3:uid="{00000000-0010-0000-0000-000006000000}" name="MAY" dataDxfId="221" totalsRowDxfId="220"/>
    <tableColumn id="7" xr3:uid="{00000000-0010-0000-0000-000007000000}" name="JUNE" dataDxfId="219" totalsRowDxfId="218"/>
    <tableColumn id="8" xr3:uid="{00000000-0010-0000-0000-000008000000}" name="JULY" dataDxfId="217" totalsRowDxfId="216"/>
    <tableColumn id="9" xr3:uid="{00000000-0010-0000-0000-000009000000}" name="AUGUST" dataDxfId="215" totalsRowDxfId="214"/>
    <tableColumn id="10" xr3:uid="{00000000-0010-0000-0000-00000A000000}" name="SEPTEMBER" dataDxfId="213" totalsRowDxfId="212"/>
    <tableColumn id="11" xr3:uid="{00000000-0010-0000-0000-00000B000000}" name="OCTOBER" dataDxfId="211" totalsRowDxfId="210"/>
    <tableColumn id="12" xr3:uid="{00000000-0010-0000-0000-00000C000000}" name="NOVEMBER" dataDxfId="209" totalsRowDxfId="208"/>
    <tableColumn id="13" xr3:uid="{00000000-0010-0000-0000-00000D000000}" name="DECEMBER" dataDxfId="207" totalsRowDxfId="206"/>
    <tableColumn id="14" xr3:uid="{00000000-0010-0000-0000-00000E000000}" name="TOTAL" dataDxfId="205"/>
  </tableColumns>
  <tableStyleInfo name="Lis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n_OfficeCosts" displayName="Plan_OfficeCosts" ref="B10:O18" totalsRowShown="0" headerRowDxfId="204" dataDxfId="203">
  <autoFilter ref="B10:O18" xr:uid="{00000000-0009-0000-0100-000002000000}"/>
  <tableColumns count="14">
    <tableColumn id="1" xr3:uid="{00000000-0010-0000-0100-000001000000}" name="OFFICE COSTS" dataDxfId="202"/>
    <tableColumn id="2" xr3:uid="{00000000-0010-0000-0100-000002000000}" name="JANUARY" dataDxfId="201"/>
    <tableColumn id="3" xr3:uid="{00000000-0010-0000-0100-000003000000}" name="FEBRUARY" dataDxfId="200"/>
    <tableColumn id="4" xr3:uid="{00000000-0010-0000-0100-000004000000}" name="MARCH" dataDxfId="199"/>
    <tableColumn id="5" xr3:uid="{00000000-0010-0000-0100-000005000000}" name="APRIL" dataDxfId="198"/>
    <tableColumn id="6" xr3:uid="{00000000-0010-0000-0100-000006000000}" name="MAY" dataDxfId="197"/>
    <tableColumn id="7" xr3:uid="{00000000-0010-0000-0100-000007000000}" name="JUNE" dataDxfId="196"/>
    <tableColumn id="8" xr3:uid="{00000000-0010-0000-0100-000008000000}" name="JULY" dataDxfId="195"/>
    <tableColumn id="9" xr3:uid="{00000000-0010-0000-0100-000009000000}" name="AUGUST" dataDxfId="194"/>
    <tableColumn id="10" xr3:uid="{00000000-0010-0000-0100-00000A000000}" name="SEPTEMBER" dataDxfId="193"/>
    <tableColumn id="11" xr3:uid="{00000000-0010-0000-0100-00000B000000}" name="OCTOBER" dataDxfId="192"/>
    <tableColumn id="12" xr3:uid="{00000000-0010-0000-0100-00000C000000}" name="NOVEMBER" dataDxfId="191"/>
    <tableColumn id="13" xr3:uid="{00000000-0010-0000-0100-00000D000000}" name="DECEMBER" dataDxfId="190"/>
    <tableColumn id="14" xr3:uid="{00000000-0010-0000-0100-00000E000000}" name="TOTAL" dataDxfId="189"/>
  </tableColumns>
  <tableStyleInfo name="List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n_MarketingCosts" displayName="Plan_MarketingCosts" ref="B21:O27" totalsRowShown="0" headerRowDxfId="188" dataDxfId="187">
  <autoFilter ref="B21:O27" xr:uid="{00000000-0009-0000-0100-000003000000}"/>
  <tableColumns count="14">
    <tableColumn id="1" xr3:uid="{00000000-0010-0000-0200-000001000000}" name="MARKETING COSTS" dataDxfId="186"/>
    <tableColumn id="2" xr3:uid="{00000000-0010-0000-0200-000002000000}" name="JANUARY" dataDxfId="185"/>
    <tableColumn id="3" xr3:uid="{00000000-0010-0000-0200-000003000000}" name="FEBRUARY" dataDxfId="184"/>
    <tableColumn id="4" xr3:uid="{00000000-0010-0000-0200-000004000000}" name="MARCH" dataDxfId="183"/>
    <tableColumn id="5" xr3:uid="{00000000-0010-0000-0200-000005000000}" name="APRIL" dataDxfId="182"/>
    <tableColumn id="6" xr3:uid="{00000000-0010-0000-0200-000006000000}" name="MAY" dataDxfId="181"/>
    <tableColumn id="7" xr3:uid="{00000000-0010-0000-0200-000007000000}" name="JUNE" dataDxfId="180"/>
    <tableColumn id="8" xr3:uid="{00000000-0010-0000-0200-000008000000}" name="JULY" dataDxfId="179"/>
    <tableColumn id="9" xr3:uid="{00000000-0010-0000-0200-000009000000}" name="AUGUST" dataDxfId="178"/>
    <tableColumn id="10" xr3:uid="{00000000-0010-0000-0200-00000A000000}" name="SEPTEMBER" dataDxfId="177"/>
    <tableColumn id="11" xr3:uid="{00000000-0010-0000-0200-00000B000000}" name="OCTOBER" dataDxfId="176"/>
    <tableColumn id="12" xr3:uid="{00000000-0010-0000-0200-00000C000000}" name="NOVEMBER" dataDxfId="175"/>
    <tableColumn id="13" xr3:uid="{00000000-0010-0000-0200-00000D000000}" name="DECEMBER" dataDxfId="174"/>
    <tableColumn id="14" xr3:uid="{00000000-0010-0000-0200-00000E000000}" name="TOTAL" dataDxfId="173"/>
  </tableColumns>
  <tableStyleInfo name="Lis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Plan_TrainingTravel" displayName="Plan_TrainingTravel" ref="B30:O32" totalsRowShown="0" headerRowDxfId="172" dataDxfId="171">
  <autoFilter ref="B30:O32" xr:uid="{00000000-0009-0000-0100-000006000000}"/>
  <tableColumns count="14">
    <tableColumn id="1" xr3:uid="{00000000-0010-0000-0300-000001000000}" name="TRAINING/TRAVEL" dataDxfId="170"/>
    <tableColumn id="2" xr3:uid="{00000000-0010-0000-0300-000002000000}" name="JANUARY" dataDxfId="169"/>
    <tableColumn id="3" xr3:uid="{00000000-0010-0000-0300-000003000000}" name="FEBRUARY" dataDxfId="168"/>
    <tableColumn id="4" xr3:uid="{00000000-0010-0000-0300-000004000000}" name="MARCH" dataDxfId="167"/>
    <tableColumn id="5" xr3:uid="{00000000-0010-0000-0300-000005000000}" name="APRIL" dataDxfId="166"/>
    <tableColumn id="6" xr3:uid="{00000000-0010-0000-0300-000006000000}" name="MAY" dataDxfId="165"/>
    <tableColumn id="7" xr3:uid="{00000000-0010-0000-0300-000007000000}" name="JUNE" dataDxfId="164"/>
    <tableColumn id="8" xr3:uid="{00000000-0010-0000-0300-000008000000}" name="JULY" dataDxfId="163"/>
    <tableColumn id="9" xr3:uid="{00000000-0010-0000-0300-000009000000}" name="AUGUST" dataDxfId="162"/>
    <tableColumn id="10" xr3:uid="{00000000-0010-0000-0300-00000A000000}" name="SEPTEMBER" dataDxfId="161"/>
    <tableColumn id="11" xr3:uid="{00000000-0010-0000-0300-00000B000000}" name="OCTOBER" dataDxfId="160"/>
    <tableColumn id="12" xr3:uid="{00000000-0010-0000-0300-00000C000000}" name="NOVEMBER" dataDxfId="159"/>
    <tableColumn id="13" xr3:uid="{00000000-0010-0000-0300-00000D000000}" name="DECEMBER" dataDxfId="158"/>
    <tableColumn id="14" xr3:uid="{00000000-0010-0000-0300-00000E000000}" name="TOTAL" dataDxfId="157"/>
  </tableColumns>
  <tableStyleInfo name="Lis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Actual_EmployeeCosts" displayName="Actual_EmployeeCosts" ref="B5:O7" totalsRowShown="0" headerRowDxfId="156" dataDxfId="155">
  <autoFilter ref="B5:O7" xr:uid="{00000000-0009-0000-0100-000008000000}"/>
  <tableColumns count="14">
    <tableColumn id="1" xr3:uid="{00000000-0010-0000-0400-000001000000}" name=" EMPLOYEE COSTS" dataDxfId="154"/>
    <tableColumn id="2" xr3:uid="{00000000-0010-0000-0400-000002000000}" name="JANUARY" dataDxfId="153" totalsRowDxfId="152"/>
    <tableColumn id="3" xr3:uid="{00000000-0010-0000-0400-000003000000}" name="FEBRUARY" dataDxfId="151" totalsRowDxfId="150"/>
    <tableColumn id="4" xr3:uid="{00000000-0010-0000-0400-000004000000}" name="MARCH" dataDxfId="149" totalsRowDxfId="148"/>
    <tableColumn id="5" xr3:uid="{00000000-0010-0000-0400-000005000000}" name="APRIL" dataDxfId="147" totalsRowDxfId="146"/>
    <tableColumn id="6" xr3:uid="{00000000-0010-0000-0400-000006000000}" name="MAY" dataDxfId="145" totalsRowDxfId="144"/>
    <tableColumn id="7" xr3:uid="{00000000-0010-0000-0400-000007000000}" name="JUNE" dataDxfId="143" totalsRowDxfId="142"/>
    <tableColumn id="8" xr3:uid="{00000000-0010-0000-0400-000008000000}" name="JULY" dataDxfId="141" totalsRowDxfId="140"/>
    <tableColumn id="9" xr3:uid="{00000000-0010-0000-0400-000009000000}" name="AUGUST" dataDxfId="139" totalsRowDxfId="138"/>
    <tableColumn id="10" xr3:uid="{00000000-0010-0000-0400-00000A000000}" name="SEPTEMBER" dataDxfId="137" totalsRowDxfId="136"/>
    <tableColumn id="11" xr3:uid="{00000000-0010-0000-0400-00000B000000}" name="OCTOBER" dataDxfId="135" totalsRowDxfId="134"/>
    <tableColumn id="12" xr3:uid="{00000000-0010-0000-0400-00000C000000}" name="NOVEMBER" dataDxfId="6" totalsRowDxfId="133"/>
    <tableColumn id="13" xr3:uid="{00000000-0010-0000-0400-00000D000000}" name="DECEMBER" dataDxfId="5" totalsRowDxfId="132"/>
    <tableColumn id="14" xr3:uid="{00000000-0010-0000-0400-00000E000000}" name="TOTAL" dataDxfId="131"/>
  </tableColumns>
  <tableStyleInfo name="Lis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Actual_OfficeCosts" displayName="Actual_OfficeCosts" ref="B10:O18" totalsRowShown="0" headerRowDxfId="130" dataDxfId="129">
  <autoFilter ref="B10:O18" xr:uid="{00000000-0009-0000-0100-000009000000}"/>
  <tableColumns count="14">
    <tableColumn id="1" xr3:uid="{00000000-0010-0000-0500-000001000000}" name="OFFICE COSTS" dataDxfId="128"/>
    <tableColumn id="2" xr3:uid="{00000000-0010-0000-0500-000002000000}" name="JANUARY" dataDxfId="127"/>
    <tableColumn id="3" xr3:uid="{00000000-0010-0000-0500-000003000000}" name="FEBRUARY" dataDxfId="126"/>
    <tableColumn id="4" xr3:uid="{00000000-0010-0000-0500-000004000000}" name="MARCH" dataDxfId="125"/>
    <tableColumn id="5" xr3:uid="{00000000-0010-0000-0500-000005000000}" name="APRIL" dataDxfId="124"/>
    <tableColumn id="6" xr3:uid="{00000000-0010-0000-0500-000006000000}" name="MAY" dataDxfId="123"/>
    <tableColumn id="7" xr3:uid="{00000000-0010-0000-0500-000007000000}" name="JUNE" dataDxfId="122"/>
    <tableColumn id="8" xr3:uid="{00000000-0010-0000-0500-000008000000}" name="JULY" dataDxfId="121"/>
    <tableColumn id="9" xr3:uid="{00000000-0010-0000-0500-000009000000}" name="AUGUST" dataDxfId="120"/>
    <tableColumn id="10" xr3:uid="{00000000-0010-0000-0500-00000A000000}" name="SEPTEMBER" dataDxfId="119"/>
    <tableColumn id="11" xr3:uid="{00000000-0010-0000-0500-00000B000000}" name="OCTOBER" dataDxfId="118"/>
    <tableColumn id="12" xr3:uid="{00000000-0010-0000-0500-00000C000000}" name="NOVEMBER" dataDxfId="117"/>
    <tableColumn id="13" xr3:uid="{00000000-0010-0000-0500-00000D000000}" name="DECEMBER" dataDxfId="116"/>
    <tableColumn id="14" xr3:uid="{00000000-0010-0000-0500-00000E000000}" name="TOTAL" dataDxfId="115"/>
  </tableColumns>
  <tableStyleInfo name="List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Actual_MarketingCosts" displayName="Actual_MarketingCosts" ref="B21:O27" totalsRowShown="0" headerRowDxfId="114" dataDxfId="113">
  <autoFilter ref="B21:O27" xr:uid="{00000000-0009-0000-0100-00000A000000}"/>
  <tableColumns count="14">
    <tableColumn id="1" xr3:uid="{00000000-0010-0000-0600-000001000000}" name="MARKETING COSTS" dataDxfId="112"/>
    <tableColumn id="2" xr3:uid="{00000000-0010-0000-0600-000002000000}" name="JANUARY" dataDxfId="111"/>
    <tableColumn id="3" xr3:uid="{00000000-0010-0000-0600-000003000000}" name="FEBRUARY" dataDxfId="110"/>
    <tableColumn id="4" xr3:uid="{00000000-0010-0000-0600-000004000000}" name="MARCH" dataDxfId="109"/>
    <tableColumn id="5" xr3:uid="{00000000-0010-0000-0600-000005000000}" name="APRIL" dataDxfId="108"/>
    <tableColumn id="6" xr3:uid="{00000000-0010-0000-0600-000006000000}" name="MAY" dataDxfId="107"/>
    <tableColumn id="7" xr3:uid="{00000000-0010-0000-0600-000007000000}" name="JUNE" dataDxfId="106"/>
    <tableColumn id="8" xr3:uid="{00000000-0010-0000-0600-000008000000}" name="JULY" dataDxfId="105"/>
    <tableColumn id="9" xr3:uid="{00000000-0010-0000-0600-000009000000}" name="AUGUST" dataDxfId="104"/>
    <tableColumn id="10" xr3:uid="{00000000-0010-0000-0600-00000A000000}" name="SEPTEMBER" dataDxfId="103"/>
    <tableColumn id="11" xr3:uid="{00000000-0010-0000-0600-00000B000000}" name="OCTOBER" dataDxfId="102"/>
    <tableColumn id="12" xr3:uid="{00000000-0010-0000-0600-00000C000000}" name="NOVEMBER" dataDxfId="101"/>
    <tableColumn id="13" xr3:uid="{00000000-0010-0000-0600-00000D000000}" name="DECEMBER" dataDxfId="100"/>
    <tableColumn id="14" xr3:uid="{00000000-0010-0000-0600-00000E000000}" name="TOTAL" dataDxfId="99"/>
  </tableColumns>
  <tableStyleInfo name="List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Actual_TrainingTravel" displayName="Actual_TrainingTravel" ref="B30:O32" totalsRowShown="0" headerRowDxfId="98" dataDxfId="97">
  <autoFilter ref="B30:O32" xr:uid="{00000000-0009-0000-0100-00000B000000}"/>
  <tableColumns count="14">
    <tableColumn id="1" xr3:uid="{00000000-0010-0000-0700-000001000000}" name="TRAINING/TRAVEL" dataDxfId="96"/>
    <tableColumn id="2" xr3:uid="{00000000-0010-0000-0700-000002000000}" name="JANUARY" dataDxfId="95"/>
    <tableColumn id="3" xr3:uid="{00000000-0010-0000-0700-000003000000}" name="FEBRUARY" dataDxfId="94"/>
    <tableColumn id="4" xr3:uid="{00000000-0010-0000-0700-000004000000}" name="MARCH" dataDxfId="93"/>
    <tableColumn id="5" xr3:uid="{00000000-0010-0000-0700-000005000000}" name="APRIL" dataDxfId="92"/>
    <tableColumn id="6" xr3:uid="{00000000-0010-0000-0700-000006000000}" name="MAY" dataDxfId="91"/>
    <tableColumn id="7" xr3:uid="{00000000-0010-0000-0700-000007000000}" name="JUNE" dataDxfId="90"/>
    <tableColumn id="8" xr3:uid="{00000000-0010-0000-0700-000008000000}" name="JULY" dataDxfId="89"/>
    <tableColumn id="9" xr3:uid="{00000000-0010-0000-0700-000009000000}" name="AUGUST" dataDxfId="88"/>
    <tableColumn id="10" xr3:uid="{00000000-0010-0000-0700-00000A000000}" name="SEPTEMBER" dataDxfId="87"/>
    <tableColumn id="11" xr3:uid="{00000000-0010-0000-0700-00000B000000}" name="OCTOBER" dataDxfId="86"/>
    <tableColumn id="12" xr3:uid="{00000000-0010-0000-0700-00000C000000}" name="NOVEMBER" dataDxfId="85"/>
    <tableColumn id="13" xr3:uid="{00000000-0010-0000-0700-00000D000000}" name="DECEMBER" dataDxfId="84"/>
    <tableColumn id="14" xr3:uid="{00000000-0010-0000-0700-00000E000000}" name="TOTAL" dataDxfId="83"/>
  </tableColumns>
  <tableStyleInfo name="List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Var_EmployeeCosts" displayName="Var_EmployeeCosts" ref="B5:O7" totalsRowShown="0" headerRowDxfId="82" dataDxfId="81">
  <autoFilter ref="B5:O7" xr:uid="{00000000-0009-0000-0100-00000C000000}"/>
  <tableColumns count="14">
    <tableColumn id="1" xr3:uid="{00000000-0010-0000-0800-000001000000}" name=" EMPLOYEE COSTS" dataDxfId="80"/>
    <tableColumn id="2" xr3:uid="{00000000-0010-0000-0800-000002000000}" name="JANUARY" dataDxfId="79" totalsRowDxfId="78">
      <calculatedColumnFormula>IF(INDIRECT("Actual_EmployeeCosts["&amp;C$3&amp;"]")="","",INDIRECT("Plan_EmployeeCosts["&amp;C$3&amp;"]")-INDIRECT("Actual_EmployeeCosts["&amp;C$3&amp;"]"))</calculatedColumnFormula>
    </tableColumn>
    <tableColumn id="3" xr3:uid="{00000000-0010-0000-0800-000003000000}" name="FEBRUARY" dataDxfId="77" totalsRowDxfId="76">
      <calculatedColumnFormula>IF(INDIRECT("Actual_EmployeeCosts["&amp;D$3&amp;"]")="","",INDIRECT("Plan_EmployeeCosts["&amp;D$3&amp;"]")-INDIRECT("Actual_EmployeeCosts["&amp;D$3&amp;"]"))</calculatedColumnFormula>
    </tableColumn>
    <tableColumn id="4" xr3:uid="{00000000-0010-0000-0800-000004000000}" name="MARCH" dataDxfId="75" totalsRowDxfId="74">
      <calculatedColumnFormula>IF(INDIRECT("Actual_EmployeeCosts["&amp;E$3&amp;"]")="","",INDIRECT("Plan_EmployeeCosts["&amp;E$3&amp;"]")-INDIRECT("Actual_EmployeeCosts["&amp;E$3&amp;"]"))</calculatedColumnFormula>
    </tableColumn>
    <tableColumn id="5" xr3:uid="{00000000-0010-0000-0800-000005000000}" name="APRIL" dataDxfId="73" totalsRowDxfId="72">
      <calculatedColumnFormula>IF(INDIRECT("Actual_EmployeeCosts["&amp;F$3&amp;"]")="","",INDIRECT("Plan_EmployeeCosts["&amp;F$3&amp;"]")-INDIRECT("Actual_EmployeeCosts["&amp;F$3&amp;"]"))</calculatedColumnFormula>
    </tableColumn>
    <tableColumn id="6" xr3:uid="{00000000-0010-0000-0800-000006000000}" name="MAY" dataDxfId="71" totalsRowDxfId="70">
      <calculatedColumnFormula>IF(INDIRECT("Actual_EmployeeCosts["&amp;G$3&amp;"]")="","",INDIRECT("Plan_EmployeeCosts["&amp;G$3&amp;"]")-INDIRECT("Actual_EmployeeCosts["&amp;G$3&amp;"]"))</calculatedColumnFormula>
    </tableColumn>
    <tableColumn id="7" xr3:uid="{00000000-0010-0000-0800-000007000000}" name="JUNE" dataDxfId="69" totalsRowDxfId="68">
      <calculatedColumnFormula>IF(INDIRECT("Actual_EmployeeCosts["&amp;H$3&amp;"]")="","",INDIRECT("Plan_EmployeeCosts["&amp;H$3&amp;"]")-INDIRECT("Actual_EmployeeCosts["&amp;H$3&amp;"]"))</calculatedColumnFormula>
    </tableColumn>
    <tableColumn id="8" xr3:uid="{00000000-0010-0000-0800-000008000000}" name="JULY" dataDxfId="67" totalsRowDxfId="66">
      <calculatedColumnFormula>IF(INDIRECT("Actual_EmployeeCosts["&amp;I$3&amp;"]")="","",INDIRECT("Plan_EmployeeCosts["&amp;I$3&amp;"]")-INDIRECT("Actual_EmployeeCosts["&amp;I$3&amp;"]"))</calculatedColumnFormula>
    </tableColumn>
    <tableColumn id="9" xr3:uid="{00000000-0010-0000-0800-000009000000}" name="AUGUST" dataDxfId="65" totalsRowDxfId="64">
      <calculatedColumnFormula>IF(INDIRECT("Actual_EmployeeCosts["&amp;J$3&amp;"]")="","",INDIRECT("Plan_EmployeeCosts["&amp;J$3&amp;"]")-INDIRECT("Actual_EmployeeCosts["&amp;J$3&amp;"]"))</calculatedColumnFormula>
    </tableColumn>
    <tableColumn id="10" xr3:uid="{00000000-0010-0000-0800-00000A000000}" name="SEPTEMBER" dataDxfId="63" totalsRowDxfId="62">
      <calculatedColumnFormula>IF(INDIRECT("Actual_EmployeeCosts["&amp;K$3&amp;"]")="","",INDIRECT("Plan_EmployeeCosts["&amp;K$3&amp;"]")-INDIRECT("Actual_EmployeeCosts["&amp;K$3&amp;"]"))</calculatedColumnFormula>
    </tableColumn>
    <tableColumn id="11" xr3:uid="{00000000-0010-0000-0800-00000B000000}" name="OCTOBER" dataDxfId="61" totalsRowDxfId="60">
      <calculatedColumnFormula>IF(INDIRECT("Actual_EmployeeCosts["&amp;L$3&amp;"]")="","",INDIRECT("Plan_EmployeeCosts["&amp;L$3&amp;"]")-INDIRECT("Actual_EmployeeCosts["&amp;L$3&amp;"]"))</calculatedColumnFormula>
    </tableColumn>
    <tableColumn id="12" xr3:uid="{00000000-0010-0000-0800-00000C000000}" name="NOVEMBER" dataDxfId="59" totalsRowDxfId="58">
      <calculatedColumnFormula>IF(INDIRECT("Actual_EmployeeCosts["&amp;M$3&amp;"]")="","",INDIRECT("Plan_EmployeeCosts["&amp;M$3&amp;"]")-INDIRECT("Actual_EmployeeCosts["&amp;M$3&amp;"]"))</calculatedColumnFormula>
    </tableColumn>
    <tableColumn id="13" xr3:uid="{00000000-0010-0000-0800-00000D000000}" name="DECEMBER" dataDxfId="57" totalsRowDxfId="56">
      <calculatedColumnFormula>IF(INDIRECT("Actual_EmployeeCosts["&amp;N$3&amp;"]")="","",INDIRECT("Plan_EmployeeCosts["&amp;N$3&amp;"]")-INDIRECT("Actual_EmployeeCosts["&amp;N$3&amp;"]"))</calculatedColumnFormula>
    </tableColumn>
    <tableColumn id="14" xr3:uid="{00000000-0010-0000-0800-00000E000000}" name="TOTAL" dataDxfId="55">
      <calculatedColumnFormula>SUM(Var_EmployeeCosts[[#This Row],[JANUARY]:[DECEMBER]])</calculatedColumnFormula>
    </tableColumn>
  </tableColumns>
  <tableStyleInfo name="List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Var_OfficeCosts" displayName="Var_OfficeCosts" ref="B10:O18" totalsRowShown="0" headerRowDxfId="54" dataDxfId="53">
  <autoFilter ref="B10:O18" xr:uid="{00000000-0009-0000-0100-00000D000000}"/>
  <tableColumns count="14">
    <tableColumn id="1" xr3:uid="{00000000-0010-0000-0900-000001000000}" name="OFFICE COSTS" dataDxfId="52"/>
    <tableColumn id="2" xr3:uid="{00000000-0010-0000-0900-000002000000}" name="JANUARY" dataDxfId="51">
      <calculatedColumnFormula>IF(INDIRECT("Actual_OfficeCosts["&amp;C$3&amp;"]")="","",INDIRECT("Plan_OfficeCosts["&amp;C$3&amp;"]")-INDIRECT("Actual_OfficeCosts["&amp;C$3&amp;"]"))</calculatedColumnFormula>
    </tableColumn>
    <tableColumn id="3" xr3:uid="{00000000-0010-0000-0900-000003000000}" name="FEBRUARY" dataDxfId="50">
      <calculatedColumnFormula>IF(INDIRECT("Actual_OfficeCosts["&amp;D$3&amp;"]")="","",INDIRECT("Plan_OfficeCosts["&amp;D$3&amp;"]")-INDIRECT("Actual_OfficeCosts["&amp;D$3&amp;"]"))</calculatedColumnFormula>
    </tableColumn>
    <tableColumn id="4" xr3:uid="{00000000-0010-0000-0900-000004000000}" name="MARCH" dataDxfId="49">
      <calculatedColumnFormula>IF(INDIRECT("Actual_OfficeCosts["&amp;E$3&amp;"]")="","",INDIRECT("Plan_OfficeCosts["&amp;E$3&amp;"]")-INDIRECT("Actual_OfficeCosts["&amp;E$3&amp;"]"))</calculatedColumnFormula>
    </tableColumn>
    <tableColumn id="5" xr3:uid="{00000000-0010-0000-0900-000005000000}" name="APRIL" dataDxfId="48">
      <calculatedColumnFormula>IF(INDIRECT("Actual_OfficeCosts["&amp;F$3&amp;"]")="","",INDIRECT("Plan_OfficeCosts["&amp;F$3&amp;"]")-INDIRECT("Actual_OfficeCosts["&amp;F$3&amp;"]"))</calculatedColumnFormula>
    </tableColumn>
    <tableColumn id="6" xr3:uid="{00000000-0010-0000-0900-000006000000}" name="MAY" dataDxfId="47">
      <calculatedColumnFormula>IF(INDIRECT("Actual_OfficeCosts["&amp;G$3&amp;"]")="","",INDIRECT("Plan_OfficeCosts["&amp;G$3&amp;"]")-INDIRECT("Actual_OfficeCosts["&amp;G$3&amp;"]"))</calculatedColumnFormula>
    </tableColumn>
    <tableColumn id="7" xr3:uid="{00000000-0010-0000-0900-000007000000}" name="JUNE" dataDxfId="46">
      <calculatedColumnFormula>IF(INDIRECT("Actual_OfficeCosts["&amp;H$3&amp;"]")="","",INDIRECT("Plan_OfficeCosts["&amp;H$3&amp;"]")-INDIRECT("Actual_OfficeCosts["&amp;H$3&amp;"]"))</calculatedColumnFormula>
    </tableColumn>
    <tableColumn id="8" xr3:uid="{00000000-0010-0000-0900-000008000000}" name="JULY" dataDxfId="45">
      <calculatedColumnFormula>IF(INDIRECT("Actual_OfficeCosts["&amp;I$3&amp;"]")="","",INDIRECT("Plan_OfficeCosts["&amp;I$3&amp;"]")-INDIRECT("Actual_OfficeCosts["&amp;I$3&amp;"]"))</calculatedColumnFormula>
    </tableColumn>
    <tableColumn id="9" xr3:uid="{00000000-0010-0000-0900-000009000000}" name="AUGUST" dataDxfId="44">
      <calculatedColumnFormula>IF(INDIRECT("Actual_OfficeCosts["&amp;J$3&amp;"]")="","",INDIRECT("Plan_OfficeCosts["&amp;J$3&amp;"]")-INDIRECT("Actual_OfficeCosts["&amp;J$3&amp;"]"))</calculatedColumnFormula>
    </tableColumn>
    <tableColumn id="10" xr3:uid="{00000000-0010-0000-0900-00000A000000}" name="SEPTEMBER" dataDxfId="43">
      <calculatedColumnFormula>IF(INDIRECT("Actual_OfficeCosts["&amp;K$3&amp;"]")="","",INDIRECT("Plan_OfficeCosts["&amp;K$3&amp;"]")-INDIRECT("Actual_OfficeCosts["&amp;K$3&amp;"]"))</calculatedColumnFormula>
    </tableColumn>
    <tableColumn id="11" xr3:uid="{00000000-0010-0000-0900-00000B000000}" name="OCTOBER" dataDxfId="42">
      <calculatedColumnFormula>IF(INDIRECT("Actual_OfficeCosts["&amp;L$3&amp;"]")="","",INDIRECT("Plan_OfficeCosts["&amp;L$3&amp;"]")-INDIRECT("Actual_OfficeCosts["&amp;L$3&amp;"]"))</calculatedColumnFormula>
    </tableColumn>
    <tableColumn id="12" xr3:uid="{00000000-0010-0000-0900-00000C000000}" name="NOVEMBER" dataDxfId="41">
      <calculatedColumnFormula>IF(INDIRECT("Actual_OfficeCosts["&amp;M$3&amp;"]")="","",INDIRECT("Plan_OfficeCosts["&amp;M$3&amp;"]")-INDIRECT("Actual_OfficeCosts["&amp;M$3&amp;"]"))</calculatedColumnFormula>
    </tableColumn>
    <tableColumn id="13" xr3:uid="{00000000-0010-0000-0900-00000D000000}" name="DECEMBER" dataDxfId="40">
      <calculatedColumnFormula>IF(INDIRECT("Actual_OfficeCosts["&amp;N$3&amp;"]")="","",INDIRECT("Plan_OfficeCosts["&amp;N$3&amp;"]")-INDIRECT("Actual_OfficeCosts["&amp;N$3&amp;"]"))</calculatedColumnFormula>
    </tableColumn>
    <tableColumn id="14" xr3:uid="{00000000-0010-0000-0900-00000E000000}" name="TOTAL" dataDxfId="39">
      <calculatedColumnFormula>SUM(Var_OfficeCosts[[#This Row],[JANUARY]:[DECEMBER]])</calculatedColumnFormula>
    </tableColumn>
  </tableColumns>
  <tableStyleInfo name="List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Var_MarketingCosts" displayName="Var_MarketingCosts" ref="B21:O27" totalsRowShown="0" headerRowDxfId="38" dataDxfId="37">
  <autoFilter ref="B21:O27" xr:uid="{00000000-0009-0000-0100-00000E000000}"/>
  <tableColumns count="14">
    <tableColumn id="1" xr3:uid="{00000000-0010-0000-0A00-000001000000}" name="MARKETING COSTS" dataDxfId="36"/>
    <tableColumn id="2" xr3:uid="{00000000-0010-0000-0A00-000002000000}" name="JANUARY" dataDxfId="35">
      <calculatedColumnFormula>IF(INDIRECT("Actual_MarketingCosts["&amp;C$3&amp;"]")="","",INDIRECT("Plan_MarketingCosts["&amp;C$3&amp;"]")-INDIRECT("Actual_MarketingCosts["&amp;C$3&amp;"]"))</calculatedColumnFormula>
    </tableColumn>
    <tableColumn id="3" xr3:uid="{00000000-0010-0000-0A00-000003000000}" name="FEBRUARY" dataDxfId="34">
      <calculatedColumnFormula>IF(INDIRECT("Actual_MarketingCosts["&amp;D$3&amp;"]")="","",INDIRECT("Plan_MarketingCosts["&amp;D$3&amp;"]")-INDIRECT("Actual_MarketingCosts["&amp;D$3&amp;"]"))</calculatedColumnFormula>
    </tableColumn>
    <tableColumn id="4" xr3:uid="{00000000-0010-0000-0A00-000004000000}" name="MARCH" dataDxfId="33">
      <calculatedColumnFormula>IF(INDIRECT("Actual_MarketingCosts["&amp;E$3&amp;"]")="","",INDIRECT("Plan_MarketingCosts["&amp;E$3&amp;"]")-INDIRECT("Actual_MarketingCosts["&amp;E$3&amp;"]"))</calculatedColumnFormula>
    </tableColumn>
    <tableColumn id="5" xr3:uid="{00000000-0010-0000-0A00-000005000000}" name="APRIL" dataDxfId="32">
      <calculatedColumnFormula>IF(INDIRECT("Actual_MarketingCosts["&amp;F$3&amp;"]")="","",INDIRECT("Plan_MarketingCosts["&amp;F$3&amp;"]")-INDIRECT("Actual_MarketingCosts["&amp;F$3&amp;"]"))</calculatedColumnFormula>
    </tableColumn>
    <tableColumn id="6" xr3:uid="{00000000-0010-0000-0A00-000006000000}" name="MAY" dataDxfId="31">
      <calculatedColumnFormula>IF(INDIRECT("Actual_MarketingCosts["&amp;G$3&amp;"]")="","",INDIRECT("Plan_MarketingCosts["&amp;G$3&amp;"]")-INDIRECT("Actual_MarketingCosts["&amp;G$3&amp;"]"))</calculatedColumnFormula>
    </tableColumn>
    <tableColumn id="7" xr3:uid="{00000000-0010-0000-0A00-000007000000}" name="JUNE" dataDxfId="30">
      <calculatedColumnFormula>IF(INDIRECT("Actual_MarketingCosts["&amp;H$3&amp;"]")="","",INDIRECT("Plan_MarketingCosts["&amp;H$3&amp;"]")-INDIRECT("Actual_MarketingCosts["&amp;H$3&amp;"]"))</calculatedColumnFormula>
    </tableColumn>
    <tableColumn id="8" xr3:uid="{00000000-0010-0000-0A00-000008000000}" name="JULY" dataDxfId="29">
      <calculatedColumnFormula>IF(INDIRECT("Actual_MarketingCosts["&amp;I$3&amp;"]")="","",INDIRECT("Plan_MarketingCosts["&amp;I$3&amp;"]")-INDIRECT("Actual_MarketingCosts["&amp;I$3&amp;"]"))</calculatedColumnFormula>
    </tableColumn>
    <tableColumn id="9" xr3:uid="{00000000-0010-0000-0A00-000009000000}" name="AUGUST" dataDxfId="28">
      <calculatedColumnFormula>IF(INDIRECT("Actual_MarketingCosts["&amp;J$3&amp;"]")="","",INDIRECT("Plan_MarketingCosts["&amp;J$3&amp;"]")-INDIRECT("Actual_MarketingCosts["&amp;J$3&amp;"]"))</calculatedColumnFormula>
    </tableColumn>
    <tableColumn id="10" xr3:uid="{00000000-0010-0000-0A00-00000A000000}" name="SEPTEMBER" dataDxfId="27">
      <calculatedColumnFormula>IF(INDIRECT("Actual_MarketingCosts["&amp;K$3&amp;"]")="","",INDIRECT("Plan_MarketingCosts["&amp;K$3&amp;"]")-INDIRECT("Actual_MarketingCosts["&amp;K$3&amp;"]"))</calculatedColumnFormula>
    </tableColumn>
    <tableColumn id="11" xr3:uid="{00000000-0010-0000-0A00-00000B000000}" name="OCTOBER" dataDxfId="26">
      <calculatedColumnFormula>IF(INDIRECT("Actual_MarketingCosts["&amp;L$3&amp;"]")="","",INDIRECT("Plan_MarketingCosts["&amp;L$3&amp;"]")-INDIRECT("Actual_MarketingCosts["&amp;L$3&amp;"]"))</calculatedColumnFormula>
    </tableColumn>
    <tableColumn id="12" xr3:uid="{00000000-0010-0000-0A00-00000C000000}" name="NOVEMBER" dataDxfId="25">
      <calculatedColumnFormula>IF(INDIRECT("Actual_MarketingCosts["&amp;M$3&amp;"]")="","",INDIRECT("Plan_MarketingCosts["&amp;M$3&amp;"]")-INDIRECT("Actual_MarketingCosts["&amp;M$3&amp;"]"))</calculatedColumnFormula>
    </tableColumn>
    <tableColumn id="13" xr3:uid="{00000000-0010-0000-0A00-00000D000000}" name="DECEMBER" dataDxfId="24">
      <calculatedColumnFormula>IF(INDIRECT("Actual_MarketingCosts["&amp;N$3&amp;"]")="","",INDIRECT("Plan_MarketingCosts["&amp;N$3&amp;"]")-INDIRECT("Actual_MarketingCosts["&amp;N$3&amp;"]"))</calculatedColumnFormula>
    </tableColumn>
    <tableColumn id="14" xr3:uid="{00000000-0010-0000-0A00-00000E000000}" name="TOTAL" dataDxfId="23">
      <calculatedColumnFormula>SUM(Var_MarketingCosts[[#This Row],[JANUARY]:[DECEMBER]])</calculatedColumnFormula>
    </tableColumn>
  </tableColumns>
  <tableStyleInfo name="List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Var_TrainingTravel" displayName="Var_TrainingTravel" ref="B30:O32" totalsRowShown="0" headerRowDxfId="22" dataDxfId="21">
  <autoFilter ref="B30:O32" xr:uid="{00000000-0009-0000-0100-00000F000000}"/>
  <tableColumns count="14">
    <tableColumn id="1" xr3:uid="{00000000-0010-0000-0B00-000001000000}" name="TRAINING/TRAVEL" dataDxfId="20"/>
    <tableColumn id="2" xr3:uid="{00000000-0010-0000-0B00-000002000000}" name="JANUARY" dataDxfId="19">
      <calculatedColumnFormula>IF(INDIRECT("Actual_TrainingTravel["&amp;C$3&amp;"]")="","",INDIRECT("Plan_TrainingTravel["&amp;C$3&amp;"]")-INDIRECT("Actual_TrainingTravel["&amp;C$3&amp;"]"))</calculatedColumnFormula>
    </tableColumn>
    <tableColumn id="3" xr3:uid="{00000000-0010-0000-0B00-000003000000}" name="FEBRUARY" dataDxfId="18">
      <calculatedColumnFormula>IF(INDIRECT("Actual_TrainingTravel["&amp;D$3&amp;"]")="","",INDIRECT("Plan_TrainingTravel["&amp;D$3&amp;"]")-INDIRECT("Actual_TrainingTravel["&amp;D$3&amp;"]"))</calculatedColumnFormula>
    </tableColumn>
    <tableColumn id="4" xr3:uid="{00000000-0010-0000-0B00-000004000000}" name="MARCH" dataDxfId="17">
      <calculatedColumnFormula>IF(INDIRECT("Actual_TrainingTravel["&amp;E$3&amp;"]")="","",INDIRECT("Plan_TrainingTravel["&amp;E$3&amp;"]")-INDIRECT("Actual_TrainingTravel["&amp;E$3&amp;"]"))</calculatedColumnFormula>
    </tableColumn>
    <tableColumn id="5" xr3:uid="{00000000-0010-0000-0B00-000005000000}" name="APRIL" dataDxfId="16">
      <calculatedColumnFormula>IF(INDIRECT("Actual_TrainingTravel["&amp;F$3&amp;"]")="","",INDIRECT("Plan_TrainingTravel["&amp;F$3&amp;"]")-INDIRECT("Actual_TrainingTravel["&amp;F$3&amp;"]"))</calculatedColumnFormula>
    </tableColumn>
    <tableColumn id="6" xr3:uid="{00000000-0010-0000-0B00-000006000000}" name="MAY" dataDxfId="15">
      <calculatedColumnFormula>IF(INDIRECT("Actual_TrainingTravel["&amp;G$3&amp;"]")="","",INDIRECT("Plan_TrainingTravel["&amp;G$3&amp;"]")-INDIRECT("Actual_TrainingTravel["&amp;G$3&amp;"]"))</calculatedColumnFormula>
    </tableColumn>
    <tableColumn id="7" xr3:uid="{00000000-0010-0000-0B00-000007000000}" name="JUNE" dataDxfId="14">
      <calculatedColumnFormula>IF(INDIRECT("Actual_TrainingTravel["&amp;H$3&amp;"]")="","",INDIRECT("Plan_TrainingTravel["&amp;H$3&amp;"]")-INDIRECT("Actual_TrainingTravel["&amp;H$3&amp;"]"))</calculatedColumnFormula>
    </tableColumn>
    <tableColumn id="8" xr3:uid="{00000000-0010-0000-0B00-000008000000}" name="JULY" dataDxfId="13">
      <calculatedColumnFormula>IF(INDIRECT("Actual_TrainingTravel["&amp;I$3&amp;"]")="","",INDIRECT("Plan_TrainingTravel["&amp;I$3&amp;"]")-INDIRECT("Actual_TrainingTravel["&amp;I$3&amp;"]"))</calculatedColumnFormula>
    </tableColumn>
    <tableColumn id="9" xr3:uid="{00000000-0010-0000-0B00-000009000000}" name="AUGUST" dataDxfId="12">
      <calculatedColumnFormula>IF(INDIRECT("Actual_TrainingTravel["&amp;J$3&amp;"]")="","",INDIRECT("Plan_TrainingTravel["&amp;J$3&amp;"]")-INDIRECT("Actual_TrainingTravel["&amp;J$3&amp;"]"))</calculatedColumnFormula>
    </tableColumn>
    <tableColumn id="10" xr3:uid="{00000000-0010-0000-0B00-00000A000000}" name="SEPTEMBER" dataDxfId="11">
      <calculatedColumnFormula>IF(INDIRECT("Actual_TrainingTravel["&amp;K$3&amp;"]")="","",INDIRECT("Plan_TrainingTravel["&amp;K$3&amp;"]")-INDIRECT("Actual_TrainingTravel["&amp;K$3&amp;"]"))</calculatedColumnFormula>
    </tableColumn>
    <tableColumn id="11" xr3:uid="{00000000-0010-0000-0B00-00000B000000}" name="OCTOBER" dataDxfId="10">
      <calculatedColumnFormula>IF(INDIRECT("Actual_TrainingTravel["&amp;L$3&amp;"]")="","",INDIRECT("Plan_TrainingTravel["&amp;L$3&amp;"]")-INDIRECT("Actual_TrainingTravel["&amp;L$3&amp;"]"))</calculatedColumnFormula>
    </tableColumn>
    <tableColumn id="12" xr3:uid="{00000000-0010-0000-0B00-00000C000000}" name="NOVEMBER" dataDxfId="9">
      <calculatedColumnFormula>IF(INDIRECT("Actual_TrainingTravel["&amp;M$3&amp;"]")="","",INDIRECT("Plan_TrainingTravel["&amp;M$3&amp;"]")-INDIRECT("Actual_TrainingTravel["&amp;M$3&amp;"]"))</calculatedColumnFormula>
    </tableColumn>
    <tableColumn id="13" xr3:uid="{00000000-0010-0000-0B00-00000D000000}" name="DECEMBER" dataDxfId="8">
      <calculatedColumnFormula>IF(INDIRECT("Actual_TrainingTravel["&amp;N$3&amp;"]")="","",INDIRECT("Plan_TrainingTravel["&amp;N$3&amp;"]")-INDIRECT("Actual_TrainingTravel["&amp;N$3&amp;"]"))</calculatedColumnFormula>
    </tableColumn>
    <tableColumn id="14" xr3:uid="{00000000-0010-0000-0B00-00000E000000}" name="TOTAL" dataDxfId="7">
      <calculatedColumnFormula>SUM(Var_TrainingTravel[[#This Row],[JANUARY]:[DECEMBER]])</calculatedColumnFormula>
    </tableColumn>
  </tableColumns>
  <tableStyleInfo name="Lis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5">
      <a:majorFont>
        <a:latin typeface="Corbel"/>
        <a:ea typeface=""/>
        <a:cs typeface=""/>
      </a:majorFont>
      <a:minorFont>
        <a:latin typeface="Palatino Linoty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4"/>
  <sheetViews>
    <sheetView showGridLines="0" zoomScaleNormal="100" workbookViewId="0">
      <selection activeCell="O4" sqref="O4"/>
    </sheetView>
  </sheetViews>
  <sheetFormatPr defaultColWidth="16.6640625" defaultRowHeight="24" customHeight="1" x14ac:dyDescent="0.35"/>
  <cols>
    <col min="1" max="1" width="1.6640625" style="1" customWidth="1"/>
    <col min="2" max="2" width="28.6640625" style="17" customWidth="1"/>
    <col min="3" max="15" width="14.33203125" style="2" customWidth="1"/>
    <col min="16" max="16" width="1.6640625" style="3" customWidth="1"/>
    <col min="17" max="16384" width="16.6640625" style="3"/>
  </cols>
  <sheetData>
    <row r="1" spans="1:15" s="4" customFormat="1" ht="45.75" customHeight="1" x14ac:dyDescent="0.35">
      <c r="B1" s="77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7.9" customHeight="1" x14ac:dyDescent="0.35"/>
    <row r="3" spans="1:15" s="14" customFormat="1" ht="36" customHeight="1" x14ac:dyDescent="0.35">
      <c r="B3" s="22"/>
      <c r="C3" s="80" t="s">
        <v>21</v>
      </c>
      <c r="D3" s="80" t="s">
        <v>22</v>
      </c>
      <c r="E3" s="80" t="s">
        <v>23</v>
      </c>
      <c r="F3" s="80" t="s">
        <v>24</v>
      </c>
      <c r="G3" s="80" t="s">
        <v>1</v>
      </c>
      <c r="H3" s="80" t="s">
        <v>25</v>
      </c>
      <c r="I3" s="80" t="s">
        <v>26</v>
      </c>
      <c r="J3" s="80" t="s">
        <v>27</v>
      </c>
      <c r="K3" s="80" t="s">
        <v>28</v>
      </c>
      <c r="L3" s="80" t="s">
        <v>29</v>
      </c>
      <c r="M3" s="80" t="s">
        <v>30</v>
      </c>
      <c r="N3" s="80" t="s">
        <v>31</v>
      </c>
      <c r="O3" s="81" t="s">
        <v>32</v>
      </c>
    </row>
    <row r="4" spans="1:15" s="8" customFormat="1" ht="24" customHeight="1" x14ac:dyDescent="0.35">
      <c r="A4" s="7"/>
      <c r="B4" s="18" t="s">
        <v>33</v>
      </c>
      <c r="C4" s="15">
        <f ca="1">SUM(INDIRECT("Plan_EmployeeCosts["&amp;C$3&amp;"]"))</f>
        <v>107950</v>
      </c>
      <c r="D4" s="15">
        <f t="shared" ref="D4:O4" ca="1" si="0">SUM(INDIRECT("Plan_EmployeeCosts["&amp;D$3&amp;"]"))</f>
        <v>107950</v>
      </c>
      <c r="E4" s="15">
        <f t="shared" ca="1" si="0"/>
        <v>107950</v>
      </c>
      <c r="F4" s="15">
        <f t="shared" ca="1" si="0"/>
        <v>111125</v>
      </c>
      <c r="G4" s="15">
        <f t="shared" ca="1" si="0"/>
        <v>111125</v>
      </c>
      <c r="H4" s="15">
        <f t="shared" ca="1" si="0"/>
        <v>111125</v>
      </c>
      <c r="I4" s="15">
        <f t="shared" ca="1" si="0"/>
        <v>111125</v>
      </c>
      <c r="J4" s="15">
        <f t="shared" ca="1" si="0"/>
        <v>117348</v>
      </c>
      <c r="K4" s="15">
        <f t="shared" ca="1" si="0"/>
        <v>117348</v>
      </c>
      <c r="L4" s="15">
        <f t="shared" ca="1" si="0"/>
        <v>117348</v>
      </c>
      <c r="M4" s="15">
        <f t="shared" ca="1" si="0"/>
        <v>117348</v>
      </c>
      <c r="N4" s="16">
        <f t="shared" ca="1" si="0"/>
        <v>117348</v>
      </c>
      <c r="O4" s="30">
        <f t="shared" ca="1" si="0"/>
        <v>1355090</v>
      </c>
    </row>
    <row r="5" spans="1:15" ht="24" hidden="1" customHeight="1" x14ac:dyDescent="0.35">
      <c r="B5" s="95" t="s">
        <v>51</v>
      </c>
      <c r="C5" s="96" t="s">
        <v>52</v>
      </c>
      <c r="D5" s="96" t="s">
        <v>53</v>
      </c>
      <c r="E5" s="96" t="s">
        <v>54</v>
      </c>
      <c r="F5" s="96" t="s">
        <v>55</v>
      </c>
      <c r="G5" s="96" t="s">
        <v>56</v>
      </c>
      <c r="H5" s="96" t="s">
        <v>57</v>
      </c>
      <c r="I5" s="96" t="s">
        <v>58</v>
      </c>
      <c r="J5" s="96" t="s">
        <v>59</v>
      </c>
      <c r="K5" s="96" t="s">
        <v>60</v>
      </c>
      <c r="L5" s="96" t="s">
        <v>61</v>
      </c>
      <c r="M5" s="96" t="s">
        <v>62</v>
      </c>
      <c r="N5" s="96" t="s">
        <v>63</v>
      </c>
      <c r="O5" s="97" t="s">
        <v>64</v>
      </c>
    </row>
    <row r="6" spans="1:15" ht="24" customHeight="1" x14ac:dyDescent="0.35">
      <c r="B6" s="23" t="s">
        <v>2</v>
      </c>
      <c r="C6" s="6">
        <v>85000</v>
      </c>
      <c r="D6" s="6">
        <v>85000</v>
      </c>
      <c r="E6" s="6">
        <v>85000</v>
      </c>
      <c r="F6" s="6">
        <v>87500</v>
      </c>
      <c r="G6" s="6">
        <v>87500</v>
      </c>
      <c r="H6" s="6">
        <v>87500</v>
      </c>
      <c r="I6" s="6">
        <v>87500</v>
      </c>
      <c r="J6" s="6">
        <v>92400</v>
      </c>
      <c r="K6" s="6">
        <v>92400</v>
      </c>
      <c r="L6" s="6">
        <v>92400</v>
      </c>
      <c r="M6" s="6">
        <v>92400</v>
      </c>
      <c r="N6" s="21">
        <v>92400</v>
      </c>
      <c r="O6" s="31">
        <f>SUM(Plan_EmployeeCosts[[#This Row],[JANUARY]:[DECEMBER]])</f>
        <v>1067000</v>
      </c>
    </row>
    <row r="7" spans="1:15" ht="24" customHeight="1" x14ac:dyDescent="0.35">
      <c r="B7" s="23" t="s">
        <v>3</v>
      </c>
      <c r="C7" s="6">
        <v>22950</v>
      </c>
      <c r="D7" s="6">
        <v>22950</v>
      </c>
      <c r="E7" s="6">
        <v>22950</v>
      </c>
      <c r="F7" s="6">
        <v>23625</v>
      </c>
      <c r="G7" s="6">
        <v>23625</v>
      </c>
      <c r="H7" s="6">
        <v>23625</v>
      </c>
      <c r="I7" s="6">
        <v>23625</v>
      </c>
      <c r="J7" s="6">
        <v>24948</v>
      </c>
      <c r="K7" s="6">
        <v>24948</v>
      </c>
      <c r="L7" s="6">
        <v>24948</v>
      </c>
      <c r="M7" s="6">
        <v>24948</v>
      </c>
      <c r="N7" s="21">
        <v>24948</v>
      </c>
      <c r="O7" s="31">
        <f>SUM(Plan_EmployeeCosts[[#This Row],[JANUARY]:[DECEMBER]])</f>
        <v>288090</v>
      </c>
    </row>
    <row r="8" spans="1:15" s="8" customFormat="1" ht="24" customHeight="1" x14ac:dyDescent="0.35">
      <c r="A8" s="7"/>
      <c r="B8" s="2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21"/>
      <c r="O8" s="31"/>
    </row>
    <row r="9" spans="1:15" s="8" customFormat="1" ht="24" customHeight="1" x14ac:dyDescent="0.35">
      <c r="A9" s="7"/>
      <c r="B9" s="18" t="s">
        <v>4</v>
      </c>
      <c r="C9" s="15">
        <f ca="1">SUM(INDIRECT("Plan_OfficeCosts["&amp;C$3&amp;"]"))</f>
        <v>11370</v>
      </c>
      <c r="D9" s="15">
        <f t="shared" ref="D9:O9" ca="1" si="1">SUM(INDIRECT("Plan_OfficeCosts["&amp;D$3&amp;"]"))</f>
        <v>11770</v>
      </c>
      <c r="E9" s="15">
        <f t="shared" ca="1" si="1"/>
        <v>11770</v>
      </c>
      <c r="F9" s="15">
        <f t="shared" ca="1" si="1"/>
        <v>11470</v>
      </c>
      <c r="G9" s="15">
        <f t="shared" ca="1" si="1"/>
        <v>11470</v>
      </c>
      <c r="H9" s="15">
        <f t="shared" ca="1" si="1"/>
        <v>11470</v>
      </c>
      <c r="I9" s="15">
        <f t="shared" ca="1" si="1"/>
        <v>11470</v>
      </c>
      <c r="J9" s="15">
        <f t="shared" ca="1" si="1"/>
        <v>11470</v>
      </c>
      <c r="K9" s="15">
        <f t="shared" ca="1" si="1"/>
        <v>11470</v>
      </c>
      <c r="L9" s="15">
        <f t="shared" ca="1" si="1"/>
        <v>11470</v>
      </c>
      <c r="M9" s="15">
        <f t="shared" ca="1" si="1"/>
        <v>11770</v>
      </c>
      <c r="N9" s="16">
        <f t="shared" ca="1" si="1"/>
        <v>11770</v>
      </c>
      <c r="O9" s="30">
        <f t="shared" ca="1" si="1"/>
        <v>138740</v>
      </c>
    </row>
    <row r="10" spans="1:15" ht="24" hidden="1" customHeight="1" x14ac:dyDescent="0.35">
      <c r="B10" s="95" t="s">
        <v>4</v>
      </c>
      <c r="C10" s="96" t="s">
        <v>52</v>
      </c>
      <c r="D10" s="96" t="s">
        <v>53</v>
      </c>
      <c r="E10" s="96" t="s">
        <v>54</v>
      </c>
      <c r="F10" s="96" t="s">
        <v>55</v>
      </c>
      <c r="G10" s="96" t="s">
        <v>56</v>
      </c>
      <c r="H10" s="96" t="s">
        <v>57</v>
      </c>
      <c r="I10" s="96" t="s">
        <v>58</v>
      </c>
      <c r="J10" s="96" t="s">
        <v>59</v>
      </c>
      <c r="K10" s="96" t="s">
        <v>60</v>
      </c>
      <c r="L10" s="96" t="s">
        <v>61</v>
      </c>
      <c r="M10" s="96" t="s">
        <v>62</v>
      </c>
      <c r="N10" s="96" t="s">
        <v>63</v>
      </c>
      <c r="O10" s="97" t="s">
        <v>64</v>
      </c>
    </row>
    <row r="11" spans="1:15" ht="24" customHeight="1" x14ac:dyDescent="0.35">
      <c r="B11" s="23" t="s">
        <v>5</v>
      </c>
      <c r="C11" s="6">
        <v>9800</v>
      </c>
      <c r="D11" s="6">
        <v>9800</v>
      </c>
      <c r="E11" s="6">
        <v>9800</v>
      </c>
      <c r="F11" s="6">
        <v>9800</v>
      </c>
      <c r="G11" s="6">
        <v>9800</v>
      </c>
      <c r="H11" s="6">
        <v>9800</v>
      </c>
      <c r="I11" s="6">
        <v>9800</v>
      </c>
      <c r="J11" s="6">
        <v>9800</v>
      </c>
      <c r="K11" s="6">
        <v>9800</v>
      </c>
      <c r="L11" s="6">
        <v>9800</v>
      </c>
      <c r="M11" s="6">
        <v>9800</v>
      </c>
      <c r="N11" s="21">
        <v>9800</v>
      </c>
      <c r="O11" s="31">
        <f>SUM(Plan_OfficeCosts[[#This Row],[JANUARY]:[DECEMBER]])</f>
        <v>117600</v>
      </c>
    </row>
    <row r="12" spans="1:15" ht="24" customHeight="1" x14ac:dyDescent="0.35">
      <c r="B12" s="23" t="s">
        <v>6</v>
      </c>
      <c r="C12" s="6">
        <v>0</v>
      </c>
      <c r="D12" s="6">
        <v>400</v>
      </c>
      <c r="E12" s="6">
        <v>400</v>
      </c>
      <c r="F12" s="6">
        <v>100</v>
      </c>
      <c r="G12" s="6">
        <v>100</v>
      </c>
      <c r="H12" s="6">
        <v>100</v>
      </c>
      <c r="I12" s="6">
        <v>100</v>
      </c>
      <c r="J12" s="6">
        <v>100</v>
      </c>
      <c r="K12" s="6">
        <v>100</v>
      </c>
      <c r="L12" s="6">
        <v>100</v>
      </c>
      <c r="M12" s="6">
        <v>400</v>
      </c>
      <c r="N12" s="21">
        <v>400</v>
      </c>
      <c r="O12" s="31">
        <f>SUM(Plan_OfficeCosts[[#This Row],[JANUARY]:[DECEMBER]])</f>
        <v>2300</v>
      </c>
    </row>
    <row r="13" spans="1:15" ht="24" customHeight="1" x14ac:dyDescent="0.35">
      <c r="B13" s="23" t="s">
        <v>7</v>
      </c>
      <c r="C13" s="6">
        <v>300</v>
      </c>
      <c r="D13" s="6">
        <v>300</v>
      </c>
      <c r="E13" s="6">
        <v>300</v>
      </c>
      <c r="F13" s="6">
        <v>300</v>
      </c>
      <c r="G13" s="6">
        <v>300</v>
      </c>
      <c r="H13" s="6">
        <v>300</v>
      </c>
      <c r="I13" s="6">
        <v>300</v>
      </c>
      <c r="J13" s="6">
        <v>300</v>
      </c>
      <c r="K13" s="6">
        <v>300</v>
      </c>
      <c r="L13" s="6">
        <v>300</v>
      </c>
      <c r="M13" s="6">
        <v>300</v>
      </c>
      <c r="N13" s="21">
        <v>300</v>
      </c>
      <c r="O13" s="31">
        <f>SUM(Plan_OfficeCosts[[#This Row],[JANUARY]:[DECEMBER]])</f>
        <v>3600</v>
      </c>
    </row>
    <row r="14" spans="1:15" ht="24" customHeight="1" x14ac:dyDescent="0.35">
      <c r="B14" s="23" t="s">
        <v>8</v>
      </c>
      <c r="C14" s="6">
        <v>40</v>
      </c>
      <c r="D14" s="6">
        <v>40</v>
      </c>
      <c r="E14" s="6">
        <v>40</v>
      </c>
      <c r="F14" s="6">
        <v>40</v>
      </c>
      <c r="G14" s="6">
        <v>40</v>
      </c>
      <c r="H14" s="6">
        <v>40</v>
      </c>
      <c r="I14" s="6">
        <v>40</v>
      </c>
      <c r="J14" s="6">
        <v>40</v>
      </c>
      <c r="K14" s="6">
        <v>40</v>
      </c>
      <c r="L14" s="6">
        <v>40</v>
      </c>
      <c r="M14" s="6">
        <v>40</v>
      </c>
      <c r="N14" s="21">
        <v>40</v>
      </c>
      <c r="O14" s="31">
        <f>SUM(Plan_OfficeCosts[[#This Row],[JANUARY]:[DECEMBER]])</f>
        <v>480</v>
      </c>
    </row>
    <row r="15" spans="1:15" ht="24" customHeight="1" x14ac:dyDescent="0.35">
      <c r="B15" s="23" t="s">
        <v>9</v>
      </c>
      <c r="C15" s="6">
        <v>250</v>
      </c>
      <c r="D15" s="6">
        <v>250</v>
      </c>
      <c r="E15" s="6">
        <v>250</v>
      </c>
      <c r="F15" s="6">
        <v>250</v>
      </c>
      <c r="G15" s="6">
        <v>250</v>
      </c>
      <c r="H15" s="6">
        <v>250</v>
      </c>
      <c r="I15" s="6">
        <v>250</v>
      </c>
      <c r="J15" s="6">
        <v>250</v>
      </c>
      <c r="K15" s="6">
        <v>250</v>
      </c>
      <c r="L15" s="6">
        <v>250</v>
      </c>
      <c r="M15" s="6">
        <v>250</v>
      </c>
      <c r="N15" s="21">
        <v>250</v>
      </c>
      <c r="O15" s="31">
        <f>SUM(Plan_OfficeCosts[[#This Row],[JANUARY]:[DECEMBER]])</f>
        <v>3000</v>
      </c>
    </row>
    <row r="16" spans="1:15" ht="24" customHeight="1" x14ac:dyDescent="0.35">
      <c r="B16" s="23" t="s">
        <v>10</v>
      </c>
      <c r="C16" s="6">
        <v>180</v>
      </c>
      <c r="D16" s="6">
        <v>180</v>
      </c>
      <c r="E16" s="6">
        <v>180</v>
      </c>
      <c r="F16" s="6">
        <v>180</v>
      </c>
      <c r="G16" s="6">
        <v>180</v>
      </c>
      <c r="H16" s="6">
        <v>180</v>
      </c>
      <c r="I16" s="6">
        <v>180</v>
      </c>
      <c r="J16" s="6">
        <v>180</v>
      </c>
      <c r="K16" s="6">
        <v>180</v>
      </c>
      <c r="L16" s="6">
        <v>180</v>
      </c>
      <c r="M16" s="6">
        <v>180</v>
      </c>
      <c r="N16" s="21">
        <v>180</v>
      </c>
      <c r="O16" s="31">
        <f>SUM(Plan_OfficeCosts[[#This Row],[JANUARY]:[DECEMBER]])</f>
        <v>2160</v>
      </c>
    </row>
    <row r="17" spans="1:15" ht="24" customHeight="1" x14ac:dyDescent="0.35">
      <c r="B17" s="23" t="s">
        <v>11</v>
      </c>
      <c r="C17" s="6">
        <v>200</v>
      </c>
      <c r="D17" s="6">
        <v>200</v>
      </c>
      <c r="E17" s="6">
        <v>200</v>
      </c>
      <c r="F17" s="6">
        <v>200</v>
      </c>
      <c r="G17" s="6">
        <v>200</v>
      </c>
      <c r="H17" s="6">
        <v>200</v>
      </c>
      <c r="I17" s="6">
        <v>200</v>
      </c>
      <c r="J17" s="6">
        <v>200</v>
      </c>
      <c r="K17" s="6">
        <v>200</v>
      </c>
      <c r="L17" s="6">
        <v>200</v>
      </c>
      <c r="M17" s="6">
        <v>200</v>
      </c>
      <c r="N17" s="21">
        <v>200</v>
      </c>
      <c r="O17" s="31">
        <f>SUM(Plan_OfficeCosts[[#This Row],[JANUARY]:[DECEMBER]])</f>
        <v>2400</v>
      </c>
    </row>
    <row r="18" spans="1:15" s="8" customFormat="1" ht="24" customHeight="1" x14ac:dyDescent="0.35">
      <c r="A18" s="7"/>
      <c r="B18" s="23" t="s">
        <v>12</v>
      </c>
      <c r="C18" s="6">
        <v>600</v>
      </c>
      <c r="D18" s="6">
        <v>600</v>
      </c>
      <c r="E18" s="6">
        <v>600</v>
      </c>
      <c r="F18" s="6">
        <v>600</v>
      </c>
      <c r="G18" s="6">
        <v>600</v>
      </c>
      <c r="H18" s="6">
        <v>600</v>
      </c>
      <c r="I18" s="6">
        <v>600</v>
      </c>
      <c r="J18" s="6">
        <v>600</v>
      </c>
      <c r="K18" s="6">
        <v>600</v>
      </c>
      <c r="L18" s="6">
        <v>600</v>
      </c>
      <c r="M18" s="6">
        <v>600</v>
      </c>
      <c r="N18" s="21">
        <v>600</v>
      </c>
      <c r="O18" s="31">
        <f>SUM(Plan_OfficeCosts[[#This Row],[JANUARY]:[DECEMBER]])</f>
        <v>7200</v>
      </c>
    </row>
    <row r="19" spans="1:15" ht="24" customHeight="1" x14ac:dyDescent="0.35">
      <c r="B19" s="2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21"/>
      <c r="O19" s="31"/>
    </row>
    <row r="20" spans="1:15" ht="24" customHeight="1" x14ac:dyDescent="0.35">
      <c r="B20" s="19" t="s">
        <v>13</v>
      </c>
      <c r="C20" s="12">
        <f ca="1">SUM(INDIRECT("Plan_MarketingCosts["&amp;C$3&amp;"]"))</f>
        <v>8100</v>
      </c>
      <c r="D20" s="12">
        <f t="shared" ref="D20:O20" ca="1" si="2">SUM(INDIRECT("Plan_MarketingCosts["&amp;D$3&amp;"]"))</f>
        <v>3100</v>
      </c>
      <c r="E20" s="12">
        <f t="shared" ca="1" si="2"/>
        <v>3100</v>
      </c>
      <c r="F20" s="12">
        <f t="shared" ca="1" si="2"/>
        <v>11100</v>
      </c>
      <c r="G20" s="12">
        <f t="shared" ca="1" si="2"/>
        <v>3100</v>
      </c>
      <c r="H20" s="12">
        <f t="shared" ca="1" si="2"/>
        <v>3900</v>
      </c>
      <c r="I20" s="12">
        <f t="shared" ca="1" si="2"/>
        <v>8100</v>
      </c>
      <c r="J20" s="12">
        <f t="shared" ca="1" si="2"/>
        <v>6100</v>
      </c>
      <c r="K20" s="12">
        <f t="shared" ca="1" si="2"/>
        <v>3100</v>
      </c>
      <c r="L20" s="12">
        <f t="shared" ca="1" si="2"/>
        <v>8100</v>
      </c>
      <c r="M20" s="12">
        <f t="shared" ca="1" si="2"/>
        <v>3100</v>
      </c>
      <c r="N20" s="13">
        <f t="shared" ca="1" si="2"/>
        <v>6900</v>
      </c>
      <c r="O20" s="32">
        <f t="shared" ca="1" si="2"/>
        <v>67800</v>
      </c>
    </row>
    <row r="21" spans="1:15" ht="24" hidden="1" customHeight="1" x14ac:dyDescent="0.35">
      <c r="B21" s="95" t="s">
        <v>13</v>
      </c>
      <c r="C21" s="96" t="s">
        <v>52</v>
      </c>
      <c r="D21" s="96" t="s">
        <v>53</v>
      </c>
      <c r="E21" s="96" t="s">
        <v>54</v>
      </c>
      <c r="F21" s="96" t="s">
        <v>55</v>
      </c>
      <c r="G21" s="96" t="s">
        <v>56</v>
      </c>
      <c r="H21" s="96" t="s">
        <v>57</v>
      </c>
      <c r="I21" s="96" t="s">
        <v>58</v>
      </c>
      <c r="J21" s="96" t="s">
        <v>59</v>
      </c>
      <c r="K21" s="96" t="s">
        <v>60</v>
      </c>
      <c r="L21" s="96" t="s">
        <v>61</v>
      </c>
      <c r="M21" s="96" t="s">
        <v>62</v>
      </c>
      <c r="N21" s="96" t="s">
        <v>63</v>
      </c>
      <c r="O21" s="97" t="s">
        <v>64</v>
      </c>
    </row>
    <row r="22" spans="1:15" ht="24" customHeight="1" x14ac:dyDescent="0.35">
      <c r="B22" s="23" t="s">
        <v>14</v>
      </c>
      <c r="C22" s="6">
        <v>500</v>
      </c>
      <c r="D22" s="6">
        <v>500</v>
      </c>
      <c r="E22" s="6">
        <v>500</v>
      </c>
      <c r="F22" s="6">
        <v>500</v>
      </c>
      <c r="G22" s="6">
        <v>500</v>
      </c>
      <c r="H22" s="6">
        <v>500</v>
      </c>
      <c r="I22" s="6">
        <v>500</v>
      </c>
      <c r="J22" s="6">
        <v>500</v>
      </c>
      <c r="K22" s="6">
        <v>500</v>
      </c>
      <c r="L22" s="6">
        <v>500</v>
      </c>
      <c r="M22" s="6">
        <v>500</v>
      </c>
      <c r="N22" s="21">
        <v>500</v>
      </c>
      <c r="O22" s="31">
        <f>SUM(Plan_MarketingCosts[[#This Row],[JANUARY]:[DECEMBER]])</f>
        <v>6000</v>
      </c>
    </row>
    <row r="23" spans="1:15" ht="24" customHeight="1" x14ac:dyDescent="0.35">
      <c r="B23" s="23" t="s">
        <v>15</v>
      </c>
      <c r="C23" s="6">
        <v>200</v>
      </c>
      <c r="D23" s="6">
        <v>200</v>
      </c>
      <c r="E23" s="6">
        <v>200</v>
      </c>
      <c r="F23" s="6">
        <v>200</v>
      </c>
      <c r="G23" s="6">
        <v>200</v>
      </c>
      <c r="H23" s="6">
        <v>1000</v>
      </c>
      <c r="I23" s="6">
        <v>200</v>
      </c>
      <c r="J23" s="6">
        <v>200</v>
      </c>
      <c r="K23" s="6">
        <v>200</v>
      </c>
      <c r="L23" s="6">
        <v>200</v>
      </c>
      <c r="M23" s="6">
        <v>200</v>
      </c>
      <c r="N23" s="21">
        <v>1000</v>
      </c>
      <c r="O23" s="31">
        <f>SUM(Plan_MarketingCosts[[#This Row],[JANUARY]:[DECEMBER]])</f>
        <v>4000</v>
      </c>
    </row>
    <row r="24" spans="1:15" ht="24" customHeight="1" x14ac:dyDescent="0.35">
      <c r="B24" s="23" t="s">
        <v>16</v>
      </c>
      <c r="C24" s="6">
        <v>5000</v>
      </c>
      <c r="D24" s="6">
        <v>0</v>
      </c>
      <c r="E24" s="6">
        <v>0</v>
      </c>
      <c r="F24" s="6">
        <v>5000</v>
      </c>
      <c r="G24" s="6">
        <v>0</v>
      </c>
      <c r="H24" s="6">
        <v>0</v>
      </c>
      <c r="I24" s="6">
        <v>5000</v>
      </c>
      <c r="J24" s="6">
        <v>0</v>
      </c>
      <c r="K24" s="6">
        <v>0</v>
      </c>
      <c r="L24" s="6">
        <v>5000</v>
      </c>
      <c r="M24" s="6">
        <v>0</v>
      </c>
      <c r="N24" s="21">
        <v>0</v>
      </c>
      <c r="O24" s="31">
        <f>SUM(Plan_MarketingCosts[[#This Row],[JANUARY]:[DECEMBER]])</f>
        <v>20000</v>
      </c>
    </row>
    <row r="25" spans="1:15" ht="24" customHeight="1" x14ac:dyDescent="0.35">
      <c r="B25" s="23" t="s">
        <v>17</v>
      </c>
      <c r="C25" s="6">
        <v>200</v>
      </c>
      <c r="D25" s="6">
        <v>200</v>
      </c>
      <c r="E25" s="6">
        <v>200</v>
      </c>
      <c r="F25" s="6">
        <v>200</v>
      </c>
      <c r="G25" s="6">
        <v>200</v>
      </c>
      <c r="H25" s="6">
        <v>200</v>
      </c>
      <c r="I25" s="6">
        <v>200</v>
      </c>
      <c r="J25" s="6">
        <v>200</v>
      </c>
      <c r="K25" s="6">
        <v>200</v>
      </c>
      <c r="L25" s="6">
        <v>200</v>
      </c>
      <c r="M25" s="6">
        <v>200</v>
      </c>
      <c r="N25" s="21">
        <v>200</v>
      </c>
      <c r="O25" s="31">
        <f>SUM(Plan_MarketingCosts[[#This Row],[JANUARY]:[DECEMBER]])</f>
        <v>2400</v>
      </c>
    </row>
    <row r="26" spans="1:15" ht="24" customHeight="1" x14ac:dyDescent="0.35">
      <c r="B26" s="23" t="s">
        <v>18</v>
      </c>
      <c r="C26" s="6">
        <v>2000</v>
      </c>
      <c r="D26" s="6">
        <v>2000</v>
      </c>
      <c r="E26" s="6">
        <v>2000</v>
      </c>
      <c r="F26" s="6">
        <v>5000</v>
      </c>
      <c r="G26" s="6">
        <v>2000</v>
      </c>
      <c r="H26" s="6">
        <v>2000</v>
      </c>
      <c r="I26" s="6">
        <v>2000</v>
      </c>
      <c r="J26" s="6">
        <v>5000</v>
      </c>
      <c r="K26" s="6">
        <v>2000</v>
      </c>
      <c r="L26" s="6">
        <v>2000</v>
      </c>
      <c r="M26" s="6">
        <v>2000</v>
      </c>
      <c r="N26" s="21">
        <v>5000</v>
      </c>
      <c r="O26" s="31">
        <f>SUM(Plan_MarketingCosts[[#This Row],[JANUARY]:[DECEMBER]])</f>
        <v>33000</v>
      </c>
    </row>
    <row r="27" spans="1:15" ht="24" customHeight="1" x14ac:dyDescent="0.35">
      <c r="B27" s="23" t="s">
        <v>19</v>
      </c>
      <c r="C27" s="6">
        <v>200</v>
      </c>
      <c r="D27" s="6">
        <v>200</v>
      </c>
      <c r="E27" s="6">
        <v>200</v>
      </c>
      <c r="F27" s="6">
        <v>200</v>
      </c>
      <c r="G27" s="6">
        <v>200</v>
      </c>
      <c r="H27" s="6">
        <v>200</v>
      </c>
      <c r="I27" s="6">
        <v>200</v>
      </c>
      <c r="J27" s="6">
        <v>200</v>
      </c>
      <c r="K27" s="6">
        <v>200</v>
      </c>
      <c r="L27" s="6">
        <v>200</v>
      </c>
      <c r="M27" s="6">
        <v>200</v>
      </c>
      <c r="N27" s="21">
        <v>200</v>
      </c>
      <c r="O27" s="31">
        <f>SUM(Plan_MarketingCosts[[#This Row],[JANUARY]:[DECEMBER]])</f>
        <v>2400</v>
      </c>
    </row>
    <row r="28" spans="1:15" ht="24" customHeight="1" x14ac:dyDescent="0.35">
      <c r="B28" s="23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  <c r="O28" s="31"/>
    </row>
    <row r="29" spans="1:15" ht="24" customHeight="1" x14ac:dyDescent="0.35">
      <c r="B29" s="19" t="s">
        <v>35</v>
      </c>
      <c r="C29" s="12">
        <f ca="1">SUM(INDIRECT("Plan_TrainingTravel["&amp;C$3&amp;"]"))</f>
        <v>4000</v>
      </c>
      <c r="D29" s="12">
        <f t="shared" ref="D29:O29" ca="1" si="3">SUM(INDIRECT("Plan_TrainingTravel["&amp;D$3&amp;"]"))</f>
        <v>4000</v>
      </c>
      <c r="E29" s="12">
        <f t="shared" ca="1" si="3"/>
        <v>4000</v>
      </c>
      <c r="F29" s="12">
        <f t="shared" ca="1" si="3"/>
        <v>4000</v>
      </c>
      <c r="G29" s="12">
        <f t="shared" ca="1" si="3"/>
        <v>4000</v>
      </c>
      <c r="H29" s="12">
        <f t="shared" ca="1" si="3"/>
        <v>4000</v>
      </c>
      <c r="I29" s="12">
        <f t="shared" ca="1" si="3"/>
        <v>4000</v>
      </c>
      <c r="J29" s="12">
        <f t="shared" ca="1" si="3"/>
        <v>4000</v>
      </c>
      <c r="K29" s="12">
        <f t="shared" ca="1" si="3"/>
        <v>4000</v>
      </c>
      <c r="L29" s="12">
        <f t="shared" ca="1" si="3"/>
        <v>4000</v>
      </c>
      <c r="M29" s="12">
        <f t="shared" ca="1" si="3"/>
        <v>4000</v>
      </c>
      <c r="N29" s="13">
        <f t="shared" ca="1" si="3"/>
        <v>4000</v>
      </c>
      <c r="O29" s="32">
        <f t="shared" ca="1" si="3"/>
        <v>48000</v>
      </c>
    </row>
    <row r="30" spans="1:15" ht="24" hidden="1" customHeight="1" x14ac:dyDescent="0.35">
      <c r="B30" s="95" t="s">
        <v>65</v>
      </c>
      <c r="C30" s="96" t="s">
        <v>52</v>
      </c>
      <c r="D30" s="96" t="s">
        <v>53</v>
      </c>
      <c r="E30" s="96" t="s">
        <v>54</v>
      </c>
      <c r="F30" s="96" t="s">
        <v>55</v>
      </c>
      <c r="G30" s="96" t="s">
        <v>56</v>
      </c>
      <c r="H30" s="96" t="s">
        <v>57</v>
      </c>
      <c r="I30" s="96" t="s">
        <v>58</v>
      </c>
      <c r="J30" s="96" t="s">
        <v>59</v>
      </c>
      <c r="K30" s="96" t="s">
        <v>60</v>
      </c>
      <c r="L30" s="96" t="s">
        <v>61</v>
      </c>
      <c r="M30" s="96" t="s">
        <v>62</v>
      </c>
      <c r="N30" s="96" t="s">
        <v>63</v>
      </c>
      <c r="O30" s="97" t="s">
        <v>64</v>
      </c>
    </row>
    <row r="31" spans="1:15" ht="24" customHeight="1" x14ac:dyDescent="0.35">
      <c r="B31" s="23" t="s">
        <v>20</v>
      </c>
      <c r="C31" s="6">
        <v>2000</v>
      </c>
      <c r="D31" s="6">
        <v>2000</v>
      </c>
      <c r="E31" s="6">
        <v>2000</v>
      </c>
      <c r="F31" s="6">
        <v>2000</v>
      </c>
      <c r="G31" s="6">
        <v>2000</v>
      </c>
      <c r="H31" s="6">
        <v>2000</v>
      </c>
      <c r="I31" s="6">
        <v>2000</v>
      </c>
      <c r="J31" s="6">
        <v>2000</v>
      </c>
      <c r="K31" s="6">
        <v>2000</v>
      </c>
      <c r="L31" s="6">
        <v>2000</v>
      </c>
      <c r="M31" s="6">
        <v>2000</v>
      </c>
      <c r="N31" s="21">
        <v>2000</v>
      </c>
      <c r="O31" s="31">
        <f>SUM(Plan_TrainingTravel[[#This Row],[JANUARY]:[DECEMBER]])</f>
        <v>24000</v>
      </c>
    </row>
    <row r="32" spans="1:15" ht="24" customHeight="1" x14ac:dyDescent="0.35">
      <c r="B32" s="23" t="s">
        <v>34</v>
      </c>
      <c r="C32" s="6">
        <v>2000</v>
      </c>
      <c r="D32" s="6">
        <v>2000</v>
      </c>
      <c r="E32" s="6">
        <v>2000</v>
      </c>
      <c r="F32" s="6">
        <v>2000</v>
      </c>
      <c r="G32" s="6">
        <v>2000</v>
      </c>
      <c r="H32" s="6">
        <v>2000</v>
      </c>
      <c r="I32" s="6">
        <v>2000</v>
      </c>
      <c r="J32" s="6">
        <v>2000</v>
      </c>
      <c r="K32" s="6">
        <v>2000</v>
      </c>
      <c r="L32" s="6">
        <v>2000</v>
      </c>
      <c r="M32" s="6">
        <v>2000</v>
      </c>
      <c r="N32" s="21">
        <v>2000</v>
      </c>
      <c r="O32" s="31">
        <f>SUM(Plan_TrainingTravel[[#This Row],[JANUARY]:[DECEMBER]])</f>
        <v>24000</v>
      </c>
    </row>
    <row r="33" spans="2:15" ht="24" customHeight="1" x14ac:dyDescent="0.35">
      <c r="B33" s="23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  <c r="O33" s="31"/>
    </row>
    <row r="34" spans="2:15" ht="36" customHeight="1" x14ac:dyDescent="0.35">
      <c r="B34" s="82" t="s">
        <v>38</v>
      </c>
      <c r="C34" s="83">
        <f t="shared" ref="C34:O34" ca="1" si="4">C4+C9+C20+C29</f>
        <v>131420</v>
      </c>
      <c r="D34" s="83">
        <f t="shared" ca="1" si="4"/>
        <v>126820</v>
      </c>
      <c r="E34" s="83">
        <f t="shared" ca="1" si="4"/>
        <v>126820</v>
      </c>
      <c r="F34" s="83">
        <f t="shared" ca="1" si="4"/>
        <v>137695</v>
      </c>
      <c r="G34" s="83">
        <f t="shared" ca="1" si="4"/>
        <v>129695</v>
      </c>
      <c r="H34" s="83">
        <f t="shared" ca="1" si="4"/>
        <v>130495</v>
      </c>
      <c r="I34" s="83">
        <f t="shared" ca="1" si="4"/>
        <v>134695</v>
      </c>
      <c r="J34" s="83">
        <f t="shared" ca="1" si="4"/>
        <v>138918</v>
      </c>
      <c r="K34" s="83">
        <f t="shared" ca="1" si="4"/>
        <v>135918</v>
      </c>
      <c r="L34" s="83">
        <f t="shared" ca="1" si="4"/>
        <v>140918</v>
      </c>
      <c r="M34" s="83">
        <f t="shared" ca="1" si="4"/>
        <v>136218</v>
      </c>
      <c r="N34" s="83">
        <f t="shared" ca="1" si="4"/>
        <v>140018</v>
      </c>
      <c r="O34" s="84">
        <f t="shared" ca="1" si="4"/>
        <v>1609630</v>
      </c>
    </row>
  </sheetData>
  <printOptions horizontalCentered="1"/>
  <pageMargins left="0.3" right="0.3" top="0.5" bottom="0.5" header="0.3" footer="0.3"/>
  <pageSetup scale="61" orientation="landscape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4"/>
  <sheetViews>
    <sheetView showGridLines="0" topLeftCell="C19" zoomScaleNormal="100" workbookViewId="0">
      <selection activeCell="C6" sqref="C6"/>
    </sheetView>
  </sheetViews>
  <sheetFormatPr defaultColWidth="16.6640625" defaultRowHeight="24" customHeight="1" x14ac:dyDescent="0.35"/>
  <cols>
    <col min="1" max="1" width="1.6640625" style="1" customWidth="1"/>
    <col min="2" max="2" width="28.6640625" style="17" customWidth="1"/>
    <col min="3" max="15" width="14.33203125" style="2" customWidth="1"/>
    <col min="16" max="16" width="1.6640625" style="3" customWidth="1"/>
    <col min="17" max="16384" width="16.6640625" style="3"/>
  </cols>
  <sheetData>
    <row r="1" spans="1:15" s="4" customFormat="1" ht="45.75" customHeight="1" x14ac:dyDescent="0.35">
      <c r="B1" s="78" t="s">
        <v>36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7.9" customHeight="1" x14ac:dyDescent="0.35"/>
    <row r="3" spans="1:15" s="14" customFormat="1" ht="36" customHeight="1" x14ac:dyDescent="0.35">
      <c r="B3" s="45"/>
      <c r="C3" s="85" t="s">
        <v>21</v>
      </c>
      <c r="D3" s="85" t="s">
        <v>22</v>
      </c>
      <c r="E3" s="85" t="s">
        <v>23</v>
      </c>
      <c r="F3" s="85" t="s">
        <v>24</v>
      </c>
      <c r="G3" s="85" t="s">
        <v>1</v>
      </c>
      <c r="H3" s="85" t="s">
        <v>25</v>
      </c>
      <c r="I3" s="85" t="s">
        <v>26</v>
      </c>
      <c r="J3" s="85" t="s">
        <v>27</v>
      </c>
      <c r="K3" s="85" t="s">
        <v>28</v>
      </c>
      <c r="L3" s="85" t="s">
        <v>29</v>
      </c>
      <c r="M3" s="85" t="s">
        <v>30</v>
      </c>
      <c r="N3" s="85" t="s">
        <v>31</v>
      </c>
      <c r="O3" s="86" t="s">
        <v>32</v>
      </c>
    </row>
    <row r="4" spans="1:15" s="8" customFormat="1" ht="24" customHeight="1" x14ac:dyDescent="0.35">
      <c r="A4" s="7"/>
      <c r="B4" s="24" t="s">
        <v>33</v>
      </c>
      <c r="C4" s="25">
        <f ca="1">SUM(INDIRECT("Actual_EmployeeCosts["&amp;C$3&amp;"]"))</f>
        <v>107950</v>
      </c>
      <c r="D4" s="25">
        <f t="shared" ref="D4:O4" ca="1" si="0">SUM(INDIRECT("Actual_EmployeeCosts["&amp;D$3&amp;"]"))</f>
        <v>107950</v>
      </c>
      <c r="E4" s="25">
        <f t="shared" ca="1" si="0"/>
        <v>107950</v>
      </c>
      <c r="F4" s="25">
        <f t="shared" ca="1" si="0"/>
        <v>111760</v>
      </c>
      <c r="G4" s="25">
        <f t="shared" ca="1" si="0"/>
        <v>111760</v>
      </c>
      <c r="H4" s="25">
        <f t="shared" ca="1" si="0"/>
        <v>111760</v>
      </c>
      <c r="I4" s="25">
        <f t="shared" ca="1" si="0"/>
        <v>112800</v>
      </c>
      <c r="J4" s="25">
        <f t="shared" ca="1" si="0"/>
        <v>107950</v>
      </c>
      <c r="K4" s="25">
        <f t="shared" ca="1" si="0"/>
        <v>111760</v>
      </c>
      <c r="L4" s="25">
        <f t="shared" ca="1" si="0"/>
        <v>112800</v>
      </c>
      <c r="M4" s="25">
        <f t="shared" ca="1" si="0"/>
        <v>107950</v>
      </c>
      <c r="N4" s="26">
        <f t="shared" ca="1" si="0"/>
        <v>111760</v>
      </c>
      <c r="O4" s="33">
        <f t="shared" ca="1" si="0"/>
        <v>1324150</v>
      </c>
    </row>
    <row r="5" spans="1:15" ht="24" hidden="1" customHeight="1" x14ac:dyDescent="0.35">
      <c r="B5" s="95" t="s">
        <v>51</v>
      </c>
      <c r="C5" s="96" t="s">
        <v>52</v>
      </c>
      <c r="D5" s="96" t="s">
        <v>53</v>
      </c>
      <c r="E5" s="96" t="s">
        <v>54</v>
      </c>
      <c r="F5" s="96" t="s">
        <v>55</v>
      </c>
      <c r="G5" s="96" t="s">
        <v>56</v>
      </c>
      <c r="H5" s="96" t="s">
        <v>57</v>
      </c>
      <c r="I5" s="96" t="s">
        <v>58</v>
      </c>
      <c r="J5" s="96" t="s">
        <v>59</v>
      </c>
      <c r="K5" s="96" t="s">
        <v>60</v>
      </c>
      <c r="L5" s="96" t="s">
        <v>61</v>
      </c>
      <c r="M5" s="96" t="s">
        <v>62</v>
      </c>
      <c r="N5" s="96" t="s">
        <v>63</v>
      </c>
      <c r="O5" s="97" t="s">
        <v>64</v>
      </c>
    </row>
    <row r="6" spans="1:15" ht="24" customHeight="1" x14ac:dyDescent="0.35">
      <c r="B6" s="27" t="s">
        <v>2</v>
      </c>
      <c r="C6" s="28">
        <v>85000</v>
      </c>
      <c r="D6" s="28">
        <v>85000</v>
      </c>
      <c r="E6" s="28">
        <v>85000</v>
      </c>
      <c r="F6" s="28">
        <v>88000</v>
      </c>
      <c r="G6" s="28">
        <v>88000</v>
      </c>
      <c r="H6" s="28">
        <v>88000</v>
      </c>
      <c r="I6" s="28">
        <v>89000</v>
      </c>
      <c r="J6" s="28">
        <v>85000</v>
      </c>
      <c r="K6" s="28">
        <v>88000</v>
      </c>
      <c r="L6" s="28">
        <v>89000</v>
      </c>
      <c r="M6" s="28">
        <v>85000</v>
      </c>
      <c r="N6" s="28">
        <v>88000</v>
      </c>
      <c r="O6" s="34">
        <f>SUM(Actual_EmployeeCosts[[#This Row],[JANUARY]:[DECEMBER]])</f>
        <v>1043000</v>
      </c>
    </row>
    <row r="7" spans="1:15" ht="24" customHeight="1" x14ac:dyDescent="0.35">
      <c r="B7" s="27" t="s">
        <v>3</v>
      </c>
      <c r="C7" s="28">
        <v>22950</v>
      </c>
      <c r="D7" s="28">
        <v>22950</v>
      </c>
      <c r="E7" s="28">
        <v>22950</v>
      </c>
      <c r="F7" s="28">
        <v>23760</v>
      </c>
      <c r="G7" s="28">
        <v>23760</v>
      </c>
      <c r="H7" s="28">
        <v>23760</v>
      </c>
      <c r="I7" s="28">
        <v>23800</v>
      </c>
      <c r="J7" s="28">
        <v>22950</v>
      </c>
      <c r="K7" s="28">
        <v>23760</v>
      </c>
      <c r="L7" s="28">
        <v>23800</v>
      </c>
      <c r="M7" s="28">
        <v>22950</v>
      </c>
      <c r="N7" s="28">
        <v>23760</v>
      </c>
      <c r="O7" s="34">
        <f>SUM(Actual_EmployeeCosts[[#This Row],[JANUARY]:[DECEMBER]])</f>
        <v>281150</v>
      </c>
    </row>
    <row r="8" spans="1:15" s="8" customFormat="1" ht="24" customHeight="1" x14ac:dyDescent="0.35">
      <c r="A8" s="7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34"/>
    </row>
    <row r="9" spans="1:15" s="8" customFormat="1" ht="24" customHeight="1" x14ac:dyDescent="0.35">
      <c r="A9" s="7"/>
      <c r="B9" s="24" t="s">
        <v>4</v>
      </c>
      <c r="C9" s="25">
        <f ca="1">SUM(INDIRECT("Actual_OfficeCosts["&amp;C$3&amp;"]"))</f>
        <v>11387</v>
      </c>
      <c r="D9" s="25">
        <f t="shared" ref="D9:O9" ca="1" si="1">SUM(INDIRECT("Actual_OfficeCosts["&amp;D$3&amp;"]"))</f>
        <v>11698</v>
      </c>
      <c r="E9" s="25">
        <f t="shared" ca="1" si="1"/>
        <v>11692</v>
      </c>
      <c r="F9" s="25">
        <f t="shared" ca="1" si="1"/>
        <v>11611</v>
      </c>
      <c r="G9" s="25">
        <f t="shared" ca="1" si="1"/>
        <v>11508</v>
      </c>
      <c r="H9" s="25">
        <f t="shared" ca="1" si="1"/>
        <v>11454</v>
      </c>
      <c r="I9" s="25">
        <f t="shared" ca="1" si="1"/>
        <v>12070</v>
      </c>
      <c r="J9" s="25">
        <f t="shared" ca="1" si="1"/>
        <v>11694</v>
      </c>
      <c r="K9" s="25">
        <f t="shared" ca="1" si="1"/>
        <v>11609</v>
      </c>
      <c r="L9" s="25">
        <f t="shared" ca="1" si="1"/>
        <v>11630</v>
      </c>
      <c r="M9" s="25">
        <f t="shared" ca="1" si="1"/>
        <v>11500</v>
      </c>
      <c r="N9" s="26">
        <f t="shared" ca="1" si="1"/>
        <v>11730</v>
      </c>
      <c r="O9" s="33">
        <f t="shared" ca="1" si="1"/>
        <v>139583</v>
      </c>
    </row>
    <row r="10" spans="1:15" ht="24" hidden="1" customHeight="1" x14ac:dyDescent="0.35">
      <c r="B10" s="95" t="s">
        <v>4</v>
      </c>
      <c r="C10" s="96" t="s">
        <v>52</v>
      </c>
      <c r="D10" s="96" t="s">
        <v>53</v>
      </c>
      <c r="E10" s="96" t="s">
        <v>54</v>
      </c>
      <c r="F10" s="96" t="s">
        <v>55</v>
      </c>
      <c r="G10" s="96" t="s">
        <v>56</v>
      </c>
      <c r="H10" s="96" t="s">
        <v>57</v>
      </c>
      <c r="I10" s="96" t="s">
        <v>58</v>
      </c>
      <c r="J10" s="96" t="s">
        <v>59</v>
      </c>
      <c r="K10" s="96" t="s">
        <v>60</v>
      </c>
      <c r="L10" s="96" t="s">
        <v>61</v>
      </c>
      <c r="M10" s="96" t="s">
        <v>62</v>
      </c>
      <c r="N10" s="96" t="s">
        <v>63</v>
      </c>
      <c r="O10" s="97" t="s">
        <v>64</v>
      </c>
    </row>
    <row r="11" spans="1:15" ht="24" customHeight="1" x14ac:dyDescent="0.35">
      <c r="B11" s="27" t="s">
        <v>5</v>
      </c>
      <c r="C11" s="28">
        <v>9800</v>
      </c>
      <c r="D11" s="28">
        <v>9800</v>
      </c>
      <c r="E11" s="28">
        <v>9800</v>
      </c>
      <c r="F11" s="28">
        <v>9800</v>
      </c>
      <c r="G11" s="28">
        <v>9800</v>
      </c>
      <c r="H11" s="28">
        <v>9800</v>
      </c>
      <c r="I11" s="28">
        <v>9800</v>
      </c>
      <c r="J11" s="28">
        <v>9800</v>
      </c>
      <c r="K11" s="28">
        <v>9800</v>
      </c>
      <c r="L11" s="28">
        <v>9800</v>
      </c>
      <c r="M11" s="28">
        <v>9800</v>
      </c>
      <c r="N11" s="28">
        <v>9800</v>
      </c>
      <c r="O11" s="34">
        <f>SUM(Actual_OfficeCosts[[#This Row],[JANUARY]:[DECEMBER]])</f>
        <v>117600</v>
      </c>
    </row>
    <row r="12" spans="1:15" ht="24" customHeight="1" x14ac:dyDescent="0.35">
      <c r="B12" s="27" t="s">
        <v>6</v>
      </c>
      <c r="C12" s="28">
        <v>4</v>
      </c>
      <c r="D12" s="28">
        <v>430</v>
      </c>
      <c r="E12" s="28">
        <v>385</v>
      </c>
      <c r="F12" s="28">
        <v>230</v>
      </c>
      <c r="G12" s="28">
        <v>87</v>
      </c>
      <c r="H12" s="28">
        <v>88</v>
      </c>
      <c r="I12" s="28">
        <v>500</v>
      </c>
      <c r="J12" s="28">
        <v>320</v>
      </c>
      <c r="K12" s="28">
        <v>90</v>
      </c>
      <c r="L12" s="28">
        <v>278</v>
      </c>
      <c r="M12" s="28">
        <v>378</v>
      </c>
      <c r="N12" s="29">
        <v>400</v>
      </c>
      <c r="O12" s="34">
        <f>SUM(Actual_OfficeCosts[[#This Row],[JANUARY]:[DECEMBER]])</f>
        <v>3190</v>
      </c>
    </row>
    <row r="13" spans="1:15" ht="24" customHeight="1" x14ac:dyDescent="0.35">
      <c r="B13" s="27" t="s">
        <v>7</v>
      </c>
      <c r="C13" s="28">
        <v>288</v>
      </c>
      <c r="D13" s="28">
        <v>278</v>
      </c>
      <c r="E13" s="28">
        <v>268</v>
      </c>
      <c r="F13" s="28">
        <v>299</v>
      </c>
      <c r="G13" s="28">
        <v>306</v>
      </c>
      <c r="H13" s="28">
        <v>290</v>
      </c>
      <c r="I13" s="28">
        <v>408</v>
      </c>
      <c r="J13" s="28">
        <v>275</v>
      </c>
      <c r="K13" s="28">
        <v>445</v>
      </c>
      <c r="L13" s="28">
        <v>245</v>
      </c>
      <c r="M13" s="28">
        <v>280</v>
      </c>
      <c r="N13" s="29">
        <v>269</v>
      </c>
      <c r="O13" s="34">
        <f>SUM(Actual_OfficeCosts[[#This Row],[JANUARY]:[DECEMBER]])</f>
        <v>3651</v>
      </c>
    </row>
    <row r="14" spans="1:15" ht="24" customHeight="1" x14ac:dyDescent="0.35">
      <c r="B14" s="27" t="s">
        <v>8</v>
      </c>
      <c r="C14" s="28">
        <v>35</v>
      </c>
      <c r="D14" s="28">
        <v>33</v>
      </c>
      <c r="E14" s="28">
        <v>34</v>
      </c>
      <c r="F14" s="28">
        <v>36</v>
      </c>
      <c r="G14" s="28">
        <v>34</v>
      </c>
      <c r="H14" s="28">
        <v>36</v>
      </c>
      <c r="I14" s="28">
        <v>37</v>
      </c>
      <c r="J14" s="28">
        <v>34</v>
      </c>
      <c r="K14" s="28">
        <v>30</v>
      </c>
      <c r="L14" s="28">
        <v>32</v>
      </c>
      <c r="M14" s="28">
        <v>34</v>
      </c>
      <c r="N14" s="29">
        <v>36</v>
      </c>
      <c r="O14" s="34">
        <f>SUM(Actual_OfficeCosts[[#This Row],[JANUARY]:[DECEMBER]])</f>
        <v>411</v>
      </c>
    </row>
    <row r="15" spans="1:15" ht="24" customHeight="1" x14ac:dyDescent="0.35">
      <c r="B15" s="27" t="s">
        <v>9</v>
      </c>
      <c r="C15" s="28">
        <v>224</v>
      </c>
      <c r="D15" s="28">
        <v>235</v>
      </c>
      <c r="E15" s="28">
        <v>265</v>
      </c>
      <c r="F15" s="28">
        <v>245</v>
      </c>
      <c r="G15" s="28">
        <v>245</v>
      </c>
      <c r="H15" s="28">
        <v>220</v>
      </c>
      <c r="I15" s="28">
        <v>245</v>
      </c>
      <c r="J15" s="28">
        <v>240</v>
      </c>
      <c r="K15" s="28">
        <v>230</v>
      </c>
      <c r="L15" s="28">
        <v>225</v>
      </c>
      <c r="M15" s="28">
        <v>23</v>
      </c>
      <c r="N15" s="29">
        <v>210</v>
      </c>
      <c r="O15" s="34">
        <f>SUM(Actual_OfficeCosts[[#This Row],[JANUARY]:[DECEMBER]])</f>
        <v>2607</v>
      </c>
    </row>
    <row r="16" spans="1:15" ht="24" customHeight="1" x14ac:dyDescent="0.35">
      <c r="B16" s="27" t="s">
        <v>10</v>
      </c>
      <c r="C16" s="28">
        <v>180</v>
      </c>
      <c r="D16" s="28">
        <v>180</v>
      </c>
      <c r="E16" s="28">
        <v>180</v>
      </c>
      <c r="F16" s="28">
        <v>180</v>
      </c>
      <c r="G16" s="28">
        <v>180</v>
      </c>
      <c r="H16" s="28">
        <v>180</v>
      </c>
      <c r="I16" s="28">
        <v>180</v>
      </c>
      <c r="J16" s="28">
        <v>180</v>
      </c>
      <c r="K16" s="28">
        <v>180</v>
      </c>
      <c r="L16" s="28">
        <v>180</v>
      </c>
      <c r="M16" s="28">
        <v>180</v>
      </c>
      <c r="N16" s="28">
        <v>180</v>
      </c>
      <c r="O16" s="34">
        <f>SUM(Actual_OfficeCosts[[#This Row],[JANUARY]:[DECEMBER]])</f>
        <v>2160</v>
      </c>
    </row>
    <row r="17" spans="1:15" ht="24" customHeight="1" x14ac:dyDescent="0.35">
      <c r="B17" s="27" t="s">
        <v>11</v>
      </c>
      <c r="C17" s="28">
        <v>256</v>
      </c>
      <c r="D17" s="28">
        <v>142</v>
      </c>
      <c r="E17" s="28">
        <v>160</v>
      </c>
      <c r="F17" s="28">
        <v>221</v>
      </c>
      <c r="G17" s="28">
        <v>256</v>
      </c>
      <c r="H17" s="28">
        <v>240</v>
      </c>
      <c r="I17" s="28">
        <v>300</v>
      </c>
      <c r="J17" s="28">
        <v>245</v>
      </c>
      <c r="K17" s="28">
        <v>234</v>
      </c>
      <c r="L17" s="28">
        <v>270</v>
      </c>
      <c r="M17" s="28">
        <v>205</v>
      </c>
      <c r="N17" s="29">
        <v>235</v>
      </c>
      <c r="O17" s="34">
        <f>SUM(Actual_OfficeCosts[[#This Row],[JANUARY]:[DECEMBER]])</f>
        <v>2764</v>
      </c>
    </row>
    <row r="18" spans="1:15" s="8" customFormat="1" ht="24" customHeight="1" x14ac:dyDescent="0.35">
      <c r="A18" s="7"/>
      <c r="B18" s="27" t="s">
        <v>12</v>
      </c>
      <c r="C18" s="28">
        <v>600</v>
      </c>
      <c r="D18" s="28">
        <v>600</v>
      </c>
      <c r="E18" s="28">
        <v>600</v>
      </c>
      <c r="F18" s="28">
        <v>600</v>
      </c>
      <c r="G18" s="28">
        <v>600</v>
      </c>
      <c r="H18" s="28">
        <v>600</v>
      </c>
      <c r="I18" s="28">
        <v>600</v>
      </c>
      <c r="J18" s="28">
        <v>600</v>
      </c>
      <c r="K18" s="28">
        <v>600</v>
      </c>
      <c r="L18" s="28">
        <v>600</v>
      </c>
      <c r="M18" s="28">
        <v>600</v>
      </c>
      <c r="N18" s="28">
        <v>600</v>
      </c>
      <c r="O18" s="34">
        <f>SUM(Actual_OfficeCosts[[#This Row],[JANUARY]:[DECEMBER]])</f>
        <v>7200</v>
      </c>
    </row>
    <row r="19" spans="1:15" ht="24" customHeight="1" x14ac:dyDescent="0.35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  <c r="O19" s="34"/>
    </row>
    <row r="20" spans="1:15" s="8" customFormat="1" ht="24" customHeight="1" x14ac:dyDescent="0.35">
      <c r="A20" s="7"/>
      <c r="B20" s="24" t="s">
        <v>13</v>
      </c>
      <c r="C20" s="25">
        <f ca="1">SUM(INDIRECT("Actual_MarketingCosts["&amp;C$3&amp;"]"))</f>
        <v>7545</v>
      </c>
      <c r="D20" s="25">
        <f t="shared" ref="D20:O20" ca="1" si="2">SUM(INDIRECT("Actual_MarketingCosts["&amp;D$3&amp;"]"))</f>
        <v>3556</v>
      </c>
      <c r="E20" s="25">
        <f t="shared" ca="1" si="2"/>
        <v>3123</v>
      </c>
      <c r="F20" s="25">
        <f t="shared" ca="1" si="2"/>
        <v>11223</v>
      </c>
      <c r="G20" s="25">
        <f t="shared" ca="1" si="2"/>
        <v>2987</v>
      </c>
      <c r="H20" s="25">
        <f t="shared" ca="1" si="2"/>
        <v>4725</v>
      </c>
      <c r="I20" s="25">
        <f t="shared" ca="1" si="2"/>
        <v>8200</v>
      </c>
      <c r="J20" s="25">
        <f t="shared" ca="1" si="2"/>
        <v>3240</v>
      </c>
      <c r="K20" s="25">
        <f t="shared" ca="1" si="2"/>
        <v>9570</v>
      </c>
      <c r="L20" s="25">
        <f t="shared" ca="1" si="2"/>
        <v>4600</v>
      </c>
      <c r="M20" s="25">
        <f t="shared" ca="1" si="2"/>
        <v>4670</v>
      </c>
      <c r="N20" s="26">
        <f t="shared" ca="1" si="2"/>
        <v>5600</v>
      </c>
      <c r="O20" s="33">
        <f t="shared" ca="1" si="2"/>
        <v>69039</v>
      </c>
    </row>
    <row r="21" spans="1:15" ht="24" hidden="1" customHeight="1" x14ac:dyDescent="0.35">
      <c r="B21" s="95" t="s">
        <v>13</v>
      </c>
      <c r="C21" s="96" t="s">
        <v>52</v>
      </c>
      <c r="D21" s="96" t="s">
        <v>53</v>
      </c>
      <c r="E21" s="96" t="s">
        <v>54</v>
      </c>
      <c r="F21" s="96" t="s">
        <v>55</v>
      </c>
      <c r="G21" s="96" t="s">
        <v>56</v>
      </c>
      <c r="H21" s="96" t="s">
        <v>57</v>
      </c>
      <c r="I21" s="96" t="s">
        <v>58</v>
      </c>
      <c r="J21" s="96" t="s">
        <v>59</v>
      </c>
      <c r="K21" s="96" t="s">
        <v>60</v>
      </c>
      <c r="L21" s="96" t="s">
        <v>61</v>
      </c>
      <c r="M21" s="96" t="s">
        <v>62</v>
      </c>
      <c r="N21" s="96" t="s">
        <v>63</v>
      </c>
      <c r="O21" s="97" t="s">
        <v>64</v>
      </c>
    </row>
    <row r="22" spans="1:15" ht="24" customHeight="1" x14ac:dyDescent="0.35">
      <c r="B22" s="27" t="s">
        <v>14</v>
      </c>
      <c r="C22" s="28">
        <v>500</v>
      </c>
      <c r="D22" s="28">
        <v>500</v>
      </c>
      <c r="E22" s="28">
        <v>500</v>
      </c>
      <c r="F22" s="28">
        <v>500</v>
      </c>
      <c r="G22" s="28">
        <v>500</v>
      </c>
      <c r="H22" s="28">
        <v>500</v>
      </c>
      <c r="I22" s="28">
        <v>550</v>
      </c>
      <c r="J22" s="28">
        <v>550</v>
      </c>
      <c r="K22" s="28">
        <v>550</v>
      </c>
      <c r="L22" s="28">
        <v>550</v>
      </c>
      <c r="M22" s="28">
        <v>550</v>
      </c>
      <c r="N22" s="28">
        <v>550</v>
      </c>
      <c r="O22" s="34">
        <f>SUM(Actual_MarketingCosts[[#This Row],[JANUARY]:[DECEMBER]])</f>
        <v>6300</v>
      </c>
    </row>
    <row r="23" spans="1:15" ht="24" customHeight="1" x14ac:dyDescent="0.35">
      <c r="B23" s="27" t="s">
        <v>15</v>
      </c>
      <c r="C23" s="28">
        <v>200</v>
      </c>
      <c r="D23" s="28">
        <v>200</v>
      </c>
      <c r="E23" s="28">
        <v>200</v>
      </c>
      <c r="F23" s="28">
        <v>200</v>
      </c>
      <c r="G23" s="28">
        <v>200</v>
      </c>
      <c r="H23" s="28">
        <v>1500</v>
      </c>
      <c r="I23" s="28">
        <v>200</v>
      </c>
      <c r="J23" s="28">
        <v>200</v>
      </c>
      <c r="K23" s="28">
        <v>200</v>
      </c>
      <c r="L23" s="28">
        <v>200</v>
      </c>
      <c r="M23" s="28">
        <v>200</v>
      </c>
      <c r="N23" s="28">
        <v>200</v>
      </c>
      <c r="O23" s="34">
        <f>SUM(Actual_MarketingCosts[[#This Row],[JANUARY]:[DECEMBER]])</f>
        <v>3700</v>
      </c>
    </row>
    <row r="24" spans="1:15" ht="24" customHeight="1" x14ac:dyDescent="0.35">
      <c r="B24" s="27" t="s">
        <v>16</v>
      </c>
      <c r="C24" s="28">
        <v>4800</v>
      </c>
      <c r="D24" s="28">
        <v>0</v>
      </c>
      <c r="E24" s="28">
        <v>0</v>
      </c>
      <c r="F24" s="28">
        <v>5500</v>
      </c>
      <c r="G24" s="28">
        <v>0</v>
      </c>
      <c r="H24" s="28">
        <v>0</v>
      </c>
      <c r="I24" s="28">
        <v>0</v>
      </c>
      <c r="J24" s="28">
        <v>0</v>
      </c>
      <c r="K24" s="28">
        <v>6000</v>
      </c>
      <c r="L24" s="28">
        <v>0</v>
      </c>
      <c r="M24" s="28">
        <v>1500</v>
      </c>
      <c r="N24" s="29">
        <v>3000</v>
      </c>
      <c r="O24" s="34">
        <f>SUM(Actual_MarketingCosts[[#This Row],[JANUARY]:[DECEMBER]])</f>
        <v>20800</v>
      </c>
    </row>
    <row r="25" spans="1:15" ht="24" customHeight="1" x14ac:dyDescent="0.35">
      <c r="B25" s="27" t="s">
        <v>17</v>
      </c>
      <c r="C25" s="28">
        <v>100</v>
      </c>
      <c r="D25" s="28">
        <v>500</v>
      </c>
      <c r="E25" s="28">
        <v>100</v>
      </c>
      <c r="F25" s="28">
        <v>100</v>
      </c>
      <c r="G25" s="28">
        <v>600</v>
      </c>
      <c r="H25" s="28">
        <v>180</v>
      </c>
      <c r="I25" s="28">
        <v>200</v>
      </c>
      <c r="J25" s="28">
        <v>150</v>
      </c>
      <c r="K25" s="28">
        <v>100</v>
      </c>
      <c r="L25" s="28">
        <v>200</v>
      </c>
      <c r="M25" s="28">
        <v>250</v>
      </c>
      <c r="N25" s="29">
        <v>150</v>
      </c>
      <c r="O25" s="34">
        <f>SUM(Actual_MarketingCosts[[#This Row],[JANUARY]:[DECEMBER]])</f>
        <v>2630</v>
      </c>
    </row>
    <row r="26" spans="1:15" ht="24" customHeight="1" x14ac:dyDescent="0.35">
      <c r="B26" s="27" t="s">
        <v>18</v>
      </c>
      <c r="C26" s="28">
        <v>1800</v>
      </c>
      <c r="D26" s="28">
        <v>2200</v>
      </c>
      <c r="E26" s="28">
        <v>2200</v>
      </c>
      <c r="F26" s="28">
        <v>4700</v>
      </c>
      <c r="G26" s="28">
        <v>1500</v>
      </c>
      <c r="H26" s="28">
        <v>2300</v>
      </c>
      <c r="I26" s="28">
        <v>7000</v>
      </c>
      <c r="J26" s="28">
        <v>2000</v>
      </c>
      <c r="K26" s="28">
        <v>2500</v>
      </c>
      <c r="L26" s="28">
        <v>3500</v>
      </c>
      <c r="M26" s="28">
        <v>2000</v>
      </c>
      <c r="N26" s="29">
        <v>1500</v>
      </c>
      <c r="O26" s="34">
        <f>SUM(Actual_MarketingCosts[[#This Row],[JANUARY]:[DECEMBER]])</f>
        <v>33200</v>
      </c>
    </row>
    <row r="27" spans="1:15" ht="24" customHeight="1" x14ac:dyDescent="0.35">
      <c r="B27" s="27" t="s">
        <v>19</v>
      </c>
      <c r="C27" s="28">
        <v>145</v>
      </c>
      <c r="D27" s="28">
        <v>156</v>
      </c>
      <c r="E27" s="28">
        <v>123</v>
      </c>
      <c r="F27" s="28">
        <v>223</v>
      </c>
      <c r="G27" s="28">
        <v>187</v>
      </c>
      <c r="H27" s="28">
        <v>245</v>
      </c>
      <c r="I27" s="28">
        <v>250</v>
      </c>
      <c r="J27" s="28">
        <v>340</v>
      </c>
      <c r="K27" s="28">
        <v>220</v>
      </c>
      <c r="L27" s="28">
        <v>150</v>
      </c>
      <c r="M27" s="28">
        <v>170</v>
      </c>
      <c r="N27" s="29">
        <v>200</v>
      </c>
      <c r="O27" s="34">
        <f>SUM(Actual_MarketingCosts[[#This Row],[JANUARY]:[DECEMBER]])</f>
        <v>2409</v>
      </c>
    </row>
    <row r="28" spans="1:15" ht="24" customHeight="1" x14ac:dyDescent="0.35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9"/>
      <c r="O28" s="34"/>
    </row>
    <row r="29" spans="1:15" s="8" customFormat="1" ht="24" customHeight="1" x14ac:dyDescent="0.35">
      <c r="A29" s="7"/>
      <c r="B29" s="24" t="s">
        <v>35</v>
      </c>
      <c r="C29" s="25">
        <f ca="1">SUM(INDIRECT("Actual_TrainingTravel["&amp;C$3&amp;"]"))</f>
        <v>2800</v>
      </c>
      <c r="D29" s="25">
        <f t="shared" ref="D29:O29" ca="1" si="3">SUM(INDIRECT("Actual_TrainingTravel["&amp;D$3&amp;"]"))</f>
        <v>4600</v>
      </c>
      <c r="E29" s="25">
        <f t="shared" ca="1" si="3"/>
        <v>2800</v>
      </c>
      <c r="F29" s="25">
        <f t="shared" ca="1" si="3"/>
        <v>2800</v>
      </c>
      <c r="G29" s="25">
        <f t="shared" ca="1" si="3"/>
        <v>2000</v>
      </c>
      <c r="H29" s="25">
        <f t="shared" ca="1" si="3"/>
        <v>6300</v>
      </c>
      <c r="I29" s="25">
        <f t="shared" ca="1" si="3"/>
        <v>3500</v>
      </c>
      <c r="J29" s="25">
        <f t="shared" ca="1" si="3"/>
        <v>4500</v>
      </c>
      <c r="K29" s="25">
        <f t="shared" ca="1" si="3"/>
        <v>4200</v>
      </c>
      <c r="L29" s="25">
        <f t="shared" ca="1" si="3"/>
        <v>5200</v>
      </c>
      <c r="M29" s="25">
        <f t="shared" ca="1" si="3"/>
        <v>4400</v>
      </c>
      <c r="N29" s="26">
        <f t="shared" ca="1" si="3"/>
        <v>2300</v>
      </c>
      <c r="O29" s="33">
        <f t="shared" ca="1" si="3"/>
        <v>45400</v>
      </c>
    </row>
    <row r="30" spans="1:15" ht="24" hidden="1" customHeight="1" x14ac:dyDescent="0.35">
      <c r="B30" s="95" t="s">
        <v>65</v>
      </c>
      <c r="C30" s="96" t="s">
        <v>52</v>
      </c>
      <c r="D30" s="96" t="s">
        <v>53</v>
      </c>
      <c r="E30" s="96" t="s">
        <v>54</v>
      </c>
      <c r="F30" s="96" t="s">
        <v>55</v>
      </c>
      <c r="G30" s="96" t="s">
        <v>56</v>
      </c>
      <c r="H30" s="96" t="s">
        <v>57</v>
      </c>
      <c r="I30" s="96" t="s">
        <v>58</v>
      </c>
      <c r="J30" s="96" t="s">
        <v>59</v>
      </c>
      <c r="K30" s="96" t="s">
        <v>60</v>
      </c>
      <c r="L30" s="96" t="s">
        <v>61</v>
      </c>
      <c r="M30" s="96" t="s">
        <v>62</v>
      </c>
      <c r="N30" s="96" t="s">
        <v>63</v>
      </c>
      <c r="O30" s="97" t="s">
        <v>64</v>
      </c>
    </row>
    <row r="31" spans="1:15" ht="24" customHeight="1" x14ac:dyDescent="0.35">
      <c r="B31" s="27" t="s">
        <v>20</v>
      </c>
      <c r="C31" s="28">
        <v>1600</v>
      </c>
      <c r="D31" s="28">
        <v>2400</v>
      </c>
      <c r="E31" s="28">
        <v>1400</v>
      </c>
      <c r="F31" s="28">
        <v>1600</v>
      </c>
      <c r="G31" s="28">
        <v>1200</v>
      </c>
      <c r="H31" s="28">
        <v>2800</v>
      </c>
      <c r="I31" s="28">
        <v>1500</v>
      </c>
      <c r="J31" s="28">
        <v>3000</v>
      </c>
      <c r="K31" s="28">
        <v>1600</v>
      </c>
      <c r="L31" s="28">
        <v>1200</v>
      </c>
      <c r="M31" s="28">
        <v>3400</v>
      </c>
      <c r="N31" s="29">
        <v>200</v>
      </c>
      <c r="O31" s="34">
        <f>SUM(Actual_TrainingTravel[[#This Row],[JANUARY]:[DECEMBER]])</f>
        <v>21900</v>
      </c>
    </row>
    <row r="32" spans="1:15" ht="24" customHeight="1" x14ac:dyDescent="0.35">
      <c r="B32" s="27" t="s">
        <v>34</v>
      </c>
      <c r="C32" s="28">
        <v>1200</v>
      </c>
      <c r="D32" s="28">
        <v>2200</v>
      </c>
      <c r="E32" s="28">
        <v>1400</v>
      </c>
      <c r="F32" s="28">
        <v>1200</v>
      </c>
      <c r="G32" s="28">
        <v>800</v>
      </c>
      <c r="H32" s="28">
        <v>3500</v>
      </c>
      <c r="I32" s="28">
        <v>2000</v>
      </c>
      <c r="J32" s="28">
        <v>1500</v>
      </c>
      <c r="K32" s="28">
        <v>2600</v>
      </c>
      <c r="L32" s="28">
        <v>4000</v>
      </c>
      <c r="M32" s="28">
        <v>1000</v>
      </c>
      <c r="N32" s="29">
        <v>2100</v>
      </c>
      <c r="O32" s="34">
        <f>SUM(Actual_TrainingTravel[[#This Row],[JANUARY]:[DECEMBER]])</f>
        <v>23500</v>
      </c>
    </row>
    <row r="33" spans="2:15" ht="24" customHeight="1" x14ac:dyDescent="0.35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9"/>
      <c r="O33" s="34"/>
    </row>
    <row r="34" spans="2:15" ht="36" customHeight="1" x14ac:dyDescent="0.35">
      <c r="B34" s="87" t="s">
        <v>38</v>
      </c>
      <c r="C34" s="88">
        <f t="shared" ref="C34:O34" ca="1" si="4">C4+C9+C20+C29</f>
        <v>129682</v>
      </c>
      <c r="D34" s="88">
        <f t="shared" ca="1" si="4"/>
        <v>127804</v>
      </c>
      <c r="E34" s="88">
        <f t="shared" ca="1" si="4"/>
        <v>125565</v>
      </c>
      <c r="F34" s="88">
        <f t="shared" ca="1" si="4"/>
        <v>137394</v>
      </c>
      <c r="G34" s="88">
        <f t="shared" ca="1" si="4"/>
        <v>128255</v>
      </c>
      <c r="H34" s="88">
        <f t="shared" ca="1" si="4"/>
        <v>134239</v>
      </c>
      <c r="I34" s="88">
        <f t="shared" ca="1" si="4"/>
        <v>136570</v>
      </c>
      <c r="J34" s="88">
        <f t="shared" ca="1" si="4"/>
        <v>127384</v>
      </c>
      <c r="K34" s="88">
        <f t="shared" ca="1" si="4"/>
        <v>137139</v>
      </c>
      <c r="L34" s="88">
        <f t="shared" ca="1" si="4"/>
        <v>134230</v>
      </c>
      <c r="M34" s="88">
        <f t="shared" ca="1" si="4"/>
        <v>128520</v>
      </c>
      <c r="N34" s="88">
        <f t="shared" ca="1" si="4"/>
        <v>131390</v>
      </c>
      <c r="O34" s="89">
        <f t="shared" ca="1" si="4"/>
        <v>1578172</v>
      </c>
    </row>
  </sheetData>
  <printOptions horizontalCentered="1"/>
  <pageMargins left="0.3" right="0.3" top="0.5" bottom="0.5" header="0.3" footer="0.3"/>
  <pageSetup scale="61" orientation="landscape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4"/>
  <sheetViews>
    <sheetView showGridLines="0" topLeftCell="B1" zoomScaleNormal="100" workbookViewId="0">
      <selection activeCell="M11" sqref="M11"/>
    </sheetView>
  </sheetViews>
  <sheetFormatPr defaultColWidth="16.6640625" defaultRowHeight="24" customHeight="1" x14ac:dyDescent="0.35"/>
  <cols>
    <col min="1" max="1" width="1.6640625" style="1" customWidth="1"/>
    <col min="2" max="2" width="28.6640625" style="17" customWidth="1"/>
    <col min="3" max="15" width="14.33203125" style="2" customWidth="1"/>
    <col min="16" max="16" width="1.6640625" style="3" customWidth="1"/>
    <col min="17" max="16384" width="16.6640625" style="3"/>
  </cols>
  <sheetData>
    <row r="1" spans="1:15" s="4" customFormat="1" ht="45.75" customHeight="1" x14ac:dyDescent="0.35">
      <c r="B1" s="79" t="s">
        <v>37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7.9" customHeight="1" x14ac:dyDescent="0.35">
      <c r="B2" s="43" t="s">
        <v>50</v>
      </c>
    </row>
    <row r="3" spans="1:15" s="14" customFormat="1" ht="36" customHeight="1" x14ac:dyDescent="0.35">
      <c r="B3" s="44"/>
      <c r="C3" s="90" t="s">
        <v>21</v>
      </c>
      <c r="D3" s="90" t="s">
        <v>22</v>
      </c>
      <c r="E3" s="90" t="s">
        <v>23</v>
      </c>
      <c r="F3" s="90" t="s">
        <v>24</v>
      </c>
      <c r="G3" s="90" t="s">
        <v>1</v>
      </c>
      <c r="H3" s="90" t="s">
        <v>25</v>
      </c>
      <c r="I3" s="90" t="s">
        <v>26</v>
      </c>
      <c r="J3" s="90" t="s">
        <v>27</v>
      </c>
      <c r="K3" s="90" t="s">
        <v>28</v>
      </c>
      <c r="L3" s="90" t="s">
        <v>29</v>
      </c>
      <c r="M3" s="90" t="s">
        <v>30</v>
      </c>
      <c r="N3" s="90" t="s">
        <v>31</v>
      </c>
      <c r="O3" s="91" t="s">
        <v>32</v>
      </c>
    </row>
    <row r="4" spans="1:15" s="8" customFormat="1" ht="24" customHeight="1" x14ac:dyDescent="0.35">
      <c r="A4" s="7"/>
      <c r="B4" s="39" t="s">
        <v>33</v>
      </c>
      <c r="C4" s="40">
        <f ca="1">SUM(INDIRECT("Var_EmployeeCosts["&amp;C$3&amp;"]"))</f>
        <v>0</v>
      </c>
      <c r="D4" s="40">
        <f t="shared" ref="D4:O4" ca="1" si="0">SUM(INDIRECT("Var_EmployeeCosts["&amp;D$3&amp;"]"))</f>
        <v>0</v>
      </c>
      <c r="E4" s="40">
        <f t="shared" ca="1" si="0"/>
        <v>0</v>
      </c>
      <c r="F4" s="40">
        <f t="shared" ca="1" si="0"/>
        <v>-635</v>
      </c>
      <c r="G4" s="40">
        <f t="shared" ca="1" si="0"/>
        <v>-635</v>
      </c>
      <c r="H4" s="40">
        <f t="shared" ca="1" si="0"/>
        <v>-635</v>
      </c>
      <c r="I4" s="40">
        <f t="shared" ca="1" si="0"/>
        <v>-1675</v>
      </c>
      <c r="J4" s="40">
        <f t="shared" ca="1" si="0"/>
        <v>9398</v>
      </c>
      <c r="K4" s="40">
        <f t="shared" ca="1" si="0"/>
        <v>5588</v>
      </c>
      <c r="L4" s="40">
        <f t="shared" ca="1" si="0"/>
        <v>4548</v>
      </c>
      <c r="M4" s="40">
        <f t="shared" ca="1" si="0"/>
        <v>9398</v>
      </c>
      <c r="N4" s="41">
        <f t="shared" ca="1" si="0"/>
        <v>5588</v>
      </c>
      <c r="O4" s="42">
        <f t="shared" ca="1" si="0"/>
        <v>30940</v>
      </c>
    </row>
    <row r="5" spans="1:15" ht="24" hidden="1" customHeight="1" x14ac:dyDescent="0.35">
      <c r="B5" s="95" t="s">
        <v>51</v>
      </c>
      <c r="C5" s="96" t="s">
        <v>52</v>
      </c>
      <c r="D5" s="96" t="s">
        <v>53</v>
      </c>
      <c r="E5" s="96" t="s">
        <v>54</v>
      </c>
      <c r="F5" s="96" t="s">
        <v>55</v>
      </c>
      <c r="G5" s="96" t="s">
        <v>56</v>
      </c>
      <c r="H5" s="96" t="s">
        <v>57</v>
      </c>
      <c r="I5" s="96" t="s">
        <v>58</v>
      </c>
      <c r="J5" s="96" t="s">
        <v>59</v>
      </c>
      <c r="K5" s="96" t="s">
        <v>60</v>
      </c>
      <c r="L5" s="96" t="s">
        <v>61</v>
      </c>
      <c r="M5" s="96" t="s">
        <v>62</v>
      </c>
      <c r="N5" s="96" t="s">
        <v>63</v>
      </c>
      <c r="O5" s="97" t="s">
        <v>64</v>
      </c>
    </row>
    <row r="6" spans="1:15" ht="24" customHeight="1" x14ac:dyDescent="0.35">
      <c r="B6" s="35" t="s">
        <v>2</v>
      </c>
      <c r="C6" s="36">
        <f ca="1">IF(INDIRECT("Actual_EmployeeCosts["&amp;C$3&amp;"]")="","",INDIRECT("Plan_EmployeeCosts["&amp;C$3&amp;"]")-INDIRECT("Actual_EmployeeCosts["&amp;C$3&amp;"]"))</f>
        <v>0</v>
      </c>
      <c r="D6" s="36">
        <f t="shared" ref="C6:N7" ca="1" si="1">IF(INDIRECT("Actual_EmployeeCosts["&amp;D$3&amp;"]")="","",INDIRECT("Plan_EmployeeCosts["&amp;D$3&amp;"]")-INDIRECT("Actual_EmployeeCosts["&amp;D$3&amp;"]"))</f>
        <v>0</v>
      </c>
      <c r="E6" s="36">
        <f t="shared" ca="1" si="1"/>
        <v>0</v>
      </c>
      <c r="F6" s="36">
        <f t="shared" ca="1" si="1"/>
        <v>-500</v>
      </c>
      <c r="G6" s="36">
        <f t="shared" ca="1" si="1"/>
        <v>-500</v>
      </c>
      <c r="H6" s="36">
        <f t="shared" ca="1" si="1"/>
        <v>-500</v>
      </c>
      <c r="I6" s="36">
        <f t="shared" ca="1" si="1"/>
        <v>-1500</v>
      </c>
      <c r="J6" s="36">
        <f t="shared" ca="1" si="1"/>
        <v>7400</v>
      </c>
      <c r="K6" s="36">
        <f t="shared" ca="1" si="1"/>
        <v>4400</v>
      </c>
      <c r="L6" s="36">
        <f t="shared" ca="1" si="1"/>
        <v>3400</v>
      </c>
      <c r="M6" s="36">
        <f t="shared" ca="1" si="1"/>
        <v>7400</v>
      </c>
      <c r="N6" s="37">
        <f t="shared" ca="1" si="1"/>
        <v>4400</v>
      </c>
      <c r="O6" s="38">
        <f ca="1">SUM(Var_EmployeeCosts[[#This Row],[JANUARY]:[DECEMBER]])</f>
        <v>24000</v>
      </c>
    </row>
    <row r="7" spans="1:15" ht="24" customHeight="1" x14ac:dyDescent="0.35">
      <c r="B7" s="35" t="s">
        <v>3</v>
      </c>
      <c r="C7" s="36">
        <f t="shared" ca="1" si="1"/>
        <v>0</v>
      </c>
      <c r="D7" s="36">
        <f t="shared" ca="1" si="1"/>
        <v>0</v>
      </c>
      <c r="E7" s="36">
        <f t="shared" ca="1" si="1"/>
        <v>0</v>
      </c>
      <c r="F7" s="36">
        <f t="shared" ca="1" si="1"/>
        <v>-135</v>
      </c>
      <c r="G7" s="36">
        <f t="shared" ca="1" si="1"/>
        <v>-135</v>
      </c>
      <c r="H7" s="36">
        <f t="shared" ca="1" si="1"/>
        <v>-135</v>
      </c>
      <c r="I7" s="36">
        <f t="shared" ca="1" si="1"/>
        <v>-175</v>
      </c>
      <c r="J7" s="36">
        <f t="shared" ca="1" si="1"/>
        <v>1998</v>
      </c>
      <c r="K7" s="36">
        <f t="shared" ca="1" si="1"/>
        <v>1188</v>
      </c>
      <c r="L7" s="36">
        <f t="shared" ca="1" si="1"/>
        <v>1148</v>
      </c>
      <c r="M7" s="36">
        <f t="shared" ca="1" si="1"/>
        <v>1998</v>
      </c>
      <c r="N7" s="37">
        <f t="shared" ca="1" si="1"/>
        <v>1188</v>
      </c>
      <c r="O7" s="38">
        <f ca="1">SUM(Var_EmployeeCosts[[#This Row],[JANUARY]:[DECEMBER]])</f>
        <v>6940</v>
      </c>
    </row>
    <row r="8" spans="1:15" s="8" customFormat="1" ht="24" customHeight="1" x14ac:dyDescent="0.35">
      <c r="A8" s="7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7"/>
      <c r="O8" s="38"/>
    </row>
    <row r="9" spans="1:15" s="8" customFormat="1" ht="24" customHeight="1" x14ac:dyDescent="0.35">
      <c r="A9" s="7"/>
      <c r="B9" s="39" t="s">
        <v>4</v>
      </c>
      <c r="C9" s="40">
        <f ca="1">SUM(INDIRECT("Var_OfficeCosts["&amp;C$3&amp;"]"))</f>
        <v>-17</v>
      </c>
      <c r="D9" s="40">
        <f t="shared" ref="D9:O9" ca="1" si="2">SUM(INDIRECT("Var_OfficeCosts["&amp;D$3&amp;"]"))</f>
        <v>72</v>
      </c>
      <c r="E9" s="40">
        <f t="shared" ca="1" si="2"/>
        <v>78</v>
      </c>
      <c r="F9" s="40">
        <f t="shared" ca="1" si="2"/>
        <v>-141</v>
      </c>
      <c r="G9" s="40">
        <f t="shared" ca="1" si="2"/>
        <v>-38</v>
      </c>
      <c r="H9" s="40">
        <f t="shared" ca="1" si="2"/>
        <v>16</v>
      </c>
      <c r="I9" s="40">
        <f t="shared" ca="1" si="2"/>
        <v>-600</v>
      </c>
      <c r="J9" s="40">
        <f t="shared" ca="1" si="2"/>
        <v>-224</v>
      </c>
      <c r="K9" s="40">
        <f t="shared" ca="1" si="2"/>
        <v>-139</v>
      </c>
      <c r="L9" s="40">
        <f t="shared" ca="1" si="2"/>
        <v>-160</v>
      </c>
      <c r="M9" s="40">
        <f t="shared" ca="1" si="2"/>
        <v>270</v>
      </c>
      <c r="N9" s="41">
        <f t="shared" ca="1" si="2"/>
        <v>40</v>
      </c>
      <c r="O9" s="42">
        <f t="shared" ca="1" si="2"/>
        <v>-843</v>
      </c>
    </row>
    <row r="10" spans="1:15" ht="24" hidden="1" customHeight="1" x14ac:dyDescent="0.35">
      <c r="B10" s="95" t="s">
        <v>4</v>
      </c>
      <c r="C10" s="96" t="s">
        <v>52</v>
      </c>
      <c r="D10" s="96" t="s">
        <v>53</v>
      </c>
      <c r="E10" s="96" t="s">
        <v>54</v>
      </c>
      <c r="F10" s="96" t="s">
        <v>55</v>
      </c>
      <c r="G10" s="96" t="s">
        <v>56</v>
      </c>
      <c r="H10" s="96" t="s">
        <v>57</v>
      </c>
      <c r="I10" s="96" t="s">
        <v>58</v>
      </c>
      <c r="J10" s="96" t="s">
        <v>59</v>
      </c>
      <c r="K10" s="96" t="s">
        <v>60</v>
      </c>
      <c r="L10" s="96" t="s">
        <v>61</v>
      </c>
      <c r="M10" s="96" t="s">
        <v>62</v>
      </c>
      <c r="N10" s="96" t="s">
        <v>63</v>
      </c>
      <c r="O10" s="97" t="s">
        <v>64</v>
      </c>
    </row>
    <row r="11" spans="1:15" ht="24" customHeight="1" x14ac:dyDescent="0.35">
      <c r="B11" s="35" t="s">
        <v>5</v>
      </c>
      <c r="C11" s="36">
        <f ca="1">IF(INDIRECT("Actual_OfficeCosts["&amp;C$3&amp;"]")="","",INDIRECT("Plan_OfficeCosts["&amp;C$3&amp;"]")-INDIRECT("Actual_OfficeCosts["&amp;C$3&amp;"]"))</f>
        <v>0</v>
      </c>
      <c r="D11" s="36">
        <f t="shared" ref="D11:N18" ca="1" si="3">IF(INDIRECT("Actual_OfficeCosts["&amp;D$3&amp;"]")="","",INDIRECT("Plan_OfficeCosts["&amp;D$3&amp;"]")-INDIRECT("Actual_OfficeCosts["&amp;D$3&amp;"]"))</f>
        <v>0</v>
      </c>
      <c r="E11" s="36">
        <f t="shared" ca="1" si="3"/>
        <v>0</v>
      </c>
      <c r="F11" s="36">
        <f t="shared" ca="1" si="3"/>
        <v>0</v>
      </c>
      <c r="G11" s="36">
        <f t="shared" ca="1" si="3"/>
        <v>0</v>
      </c>
      <c r="H11" s="36">
        <f t="shared" ca="1" si="3"/>
        <v>0</v>
      </c>
      <c r="I11" s="36">
        <f t="shared" ca="1" si="3"/>
        <v>0</v>
      </c>
      <c r="J11" s="36">
        <f t="shared" ca="1" si="3"/>
        <v>0</v>
      </c>
      <c r="K11" s="36">
        <f t="shared" ca="1" si="3"/>
        <v>0</v>
      </c>
      <c r="L11" s="36">
        <f t="shared" ca="1" si="3"/>
        <v>0</v>
      </c>
      <c r="M11" s="36">
        <f t="shared" ca="1" si="3"/>
        <v>0</v>
      </c>
      <c r="N11" s="37">
        <f t="shared" ca="1" si="3"/>
        <v>0</v>
      </c>
      <c r="O11" s="38">
        <f ca="1">SUM(Var_OfficeCosts[[#This Row],[JANUARY]:[DECEMBER]])</f>
        <v>0</v>
      </c>
    </row>
    <row r="12" spans="1:15" ht="24" customHeight="1" x14ac:dyDescent="0.35">
      <c r="B12" s="35" t="s">
        <v>6</v>
      </c>
      <c r="C12" s="36">
        <f t="shared" ref="C12:C18" ca="1" si="4">IF(INDIRECT("Actual_OfficeCosts["&amp;C$3&amp;"]")="","",INDIRECT("Plan_OfficeCosts["&amp;C$3&amp;"]")-INDIRECT("Actual_OfficeCosts["&amp;C$3&amp;"]"))</f>
        <v>-4</v>
      </c>
      <c r="D12" s="36">
        <f t="shared" ca="1" si="3"/>
        <v>-30</v>
      </c>
      <c r="E12" s="36">
        <f t="shared" ca="1" si="3"/>
        <v>15</v>
      </c>
      <c r="F12" s="36">
        <f t="shared" ca="1" si="3"/>
        <v>-130</v>
      </c>
      <c r="G12" s="36">
        <f t="shared" ca="1" si="3"/>
        <v>13</v>
      </c>
      <c r="H12" s="36">
        <f t="shared" ca="1" si="3"/>
        <v>12</v>
      </c>
      <c r="I12" s="36">
        <f t="shared" ca="1" si="3"/>
        <v>-400</v>
      </c>
      <c r="J12" s="36">
        <f t="shared" ca="1" si="3"/>
        <v>-220</v>
      </c>
      <c r="K12" s="36">
        <f t="shared" ca="1" si="3"/>
        <v>10</v>
      </c>
      <c r="L12" s="36">
        <f t="shared" ca="1" si="3"/>
        <v>-178</v>
      </c>
      <c r="M12" s="36">
        <f t="shared" ca="1" si="3"/>
        <v>22</v>
      </c>
      <c r="N12" s="37">
        <f t="shared" ca="1" si="3"/>
        <v>0</v>
      </c>
      <c r="O12" s="38">
        <f ca="1">SUM(Var_OfficeCosts[[#This Row],[JANUARY]:[DECEMBER]])</f>
        <v>-890</v>
      </c>
    </row>
    <row r="13" spans="1:15" ht="24" customHeight="1" x14ac:dyDescent="0.35">
      <c r="B13" s="35" t="s">
        <v>7</v>
      </c>
      <c r="C13" s="36">
        <f t="shared" ca="1" si="4"/>
        <v>12</v>
      </c>
      <c r="D13" s="36">
        <f t="shared" ca="1" si="3"/>
        <v>22</v>
      </c>
      <c r="E13" s="36">
        <f t="shared" ca="1" si="3"/>
        <v>32</v>
      </c>
      <c r="F13" s="36">
        <f t="shared" ca="1" si="3"/>
        <v>1</v>
      </c>
      <c r="G13" s="36">
        <f t="shared" ca="1" si="3"/>
        <v>-6</v>
      </c>
      <c r="H13" s="36">
        <f t="shared" ca="1" si="3"/>
        <v>10</v>
      </c>
      <c r="I13" s="36">
        <f t="shared" ca="1" si="3"/>
        <v>-108</v>
      </c>
      <c r="J13" s="36">
        <f t="shared" ca="1" si="3"/>
        <v>25</v>
      </c>
      <c r="K13" s="36">
        <f t="shared" ca="1" si="3"/>
        <v>-145</v>
      </c>
      <c r="L13" s="36">
        <f t="shared" ca="1" si="3"/>
        <v>55</v>
      </c>
      <c r="M13" s="36">
        <f t="shared" ca="1" si="3"/>
        <v>20</v>
      </c>
      <c r="N13" s="37">
        <f t="shared" ca="1" si="3"/>
        <v>31</v>
      </c>
      <c r="O13" s="38">
        <f ca="1">SUM(Var_OfficeCosts[[#This Row],[JANUARY]:[DECEMBER]])</f>
        <v>-51</v>
      </c>
    </row>
    <row r="14" spans="1:15" ht="24" customHeight="1" x14ac:dyDescent="0.35">
      <c r="B14" s="35" t="s">
        <v>8</v>
      </c>
      <c r="C14" s="36">
        <f t="shared" ca="1" si="4"/>
        <v>5</v>
      </c>
      <c r="D14" s="36">
        <f t="shared" ca="1" si="3"/>
        <v>7</v>
      </c>
      <c r="E14" s="36">
        <f t="shared" ca="1" si="3"/>
        <v>6</v>
      </c>
      <c r="F14" s="36">
        <f t="shared" ca="1" si="3"/>
        <v>4</v>
      </c>
      <c r="G14" s="36">
        <f t="shared" ca="1" si="3"/>
        <v>6</v>
      </c>
      <c r="H14" s="36">
        <f t="shared" ca="1" si="3"/>
        <v>4</v>
      </c>
      <c r="I14" s="36">
        <f t="shared" ca="1" si="3"/>
        <v>3</v>
      </c>
      <c r="J14" s="36">
        <f t="shared" ca="1" si="3"/>
        <v>6</v>
      </c>
      <c r="K14" s="36">
        <f t="shared" ca="1" si="3"/>
        <v>10</v>
      </c>
      <c r="L14" s="36">
        <f t="shared" ca="1" si="3"/>
        <v>8</v>
      </c>
      <c r="M14" s="36">
        <f t="shared" ca="1" si="3"/>
        <v>6</v>
      </c>
      <c r="N14" s="37">
        <f t="shared" ca="1" si="3"/>
        <v>4</v>
      </c>
      <c r="O14" s="38">
        <f ca="1">SUM(Var_OfficeCosts[[#This Row],[JANUARY]:[DECEMBER]])</f>
        <v>69</v>
      </c>
    </row>
    <row r="15" spans="1:15" ht="24" customHeight="1" x14ac:dyDescent="0.35">
      <c r="B15" s="35" t="s">
        <v>9</v>
      </c>
      <c r="C15" s="36">
        <f t="shared" ca="1" si="4"/>
        <v>26</v>
      </c>
      <c r="D15" s="36">
        <f t="shared" ca="1" si="3"/>
        <v>15</v>
      </c>
      <c r="E15" s="36">
        <f t="shared" ca="1" si="3"/>
        <v>-15</v>
      </c>
      <c r="F15" s="36">
        <f t="shared" ca="1" si="3"/>
        <v>5</v>
      </c>
      <c r="G15" s="36">
        <f t="shared" ca="1" si="3"/>
        <v>5</v>
      </c>
      <c r="H15" s="36">
        <f t="shared" ca="1" si="3"/>
        <v>30</v>
      </c>
      <c r="I15" s="36">
        <f t="shared" ca="1" si="3"/>
        <v>5</v>
      </c>
      <c r="J15" s="36">
        <f t="shared" ca="1" si="3"/>
        <v>10</v>
      </c>
      <c r="K15" s="36">
        <f t="shared" ca="1" si="3"/>
        <v>20</v>
      </c>
      <c r="L15" s="36">
        <f t="shared" ca="1" si="3"/>
        <v>25</v>
      </c>
      <c r="M15" s="36">
        <f t="shared" ca="1" si="3"/>
        <v>227</v>
      </c>
      <c r="N15" s="37">
        <f t="shared" ca="1" si="3"/>
        <v>40</v>
      </c>
      <c r="O15" s="38">
        <f ca="1">SUM(Var_OfficeCosts[[#This Row],[JANUARY]:[DECEMBER]])</f>
        <v>393</v>
      </c>
    </row>
    <row r="16" spans="1:15" ht="24" customHeight="1" x14ac:dyDescent="0.35">
      <c r="B16" s="35" t="s">
        <v>10</v>
      </c>
      <c r="C16" s="36">
        <f t="shared" ca="1" si="4"/>
        <v>0</v>
      </c>
      <c r="D16" s="36">
        <f t="shared" ca="1" si="3"/>
        <v>0</v>
      </c>
      <c r="E16" s="36">
        <f t="shared" ca="1" si="3"/>
        <v>0</v>
      </c>
      <c r="F16" s="36">
        <f t="shared" ca="1" si="3"/>
        <v>0</v>
      </c>
      <c r="G16" s="36">
        <f t="shared" ca="1" si="3"/>
        <v>0</v>
      </c>
      <c r="H16" s="36">
        <f t="shared" ca="1" si="3"/>
        <v>0</v>
      </c>
      <c r="I16" s="36">
        <f t="shared" ca="1" si="3"/>
        <v>0</v>
      </c>
      <c r="J16" s="36">
        <f t="shared" ca="1" si="3"/>
        <v>0</v>
      </c>
      <c r="K16" s="36">
        <f t="shared" ca="1" si="3"/>
        <v>0</v>
      </c>
      <c r="L16" s="36">
        <f t="shared" ca="1" si="3"/>
        <v>0</v>
      </c>
      <c r="M16" s="36">
        <f t="shared" ca="1" si="3"/>
        <v>0</v>
      </c>
      <c r="N16" s="37">
        <f t="shared" ca="1" si="3"/>
        <v>0</v>
      </c>
      <c r="O16" s="38">
        <f ca="1">SUM(Var_OfficeCosts[[#This Row],[JANUARY]:[DECEMBER]])</f>
        <v>0</v>
      </c>
    </row>
    <row r="17" spans="1:15" ht="24" customHeight="1" x14ac:dyDescent="0.35">
      <c r="B17" s="35" t="s">
        <v>11</v>
      </c>
      <c r="C17" s="36">
        <f t="shared" ca="1" si="4"/>
        <v>-56</v>
      </c>
      <c r="D17" s="36">
        <f t="shared" ca="1" si="3"/>
        <v>58</v>
      </c>
      <c r="E17" s="36">
        <f t="shared" ca="1" si="3"/>
        <v>40</v>
      </c>
      <c r="F17" s="36">
        <f t="shared" ca="1" si="3"/>
        <v>-21</v>
      </c>
      <c r="G17" s="36">
        <f t="shared" ca="1" si="3"/>
        <v>-56</v>
      </c>
      <c r="H17" s="36">
        <f t="shared" ca="1" si="3"/>
        <v>-40</v>
      </c>
      <c r="I17" s="36">
        <f t="shared" ca="1" si="3"/>
        <v>-100</v>
      </c>
      <c r="J17" s="36">
        <f t="shared" ca="1" si="3"/>
        <v>-45</v>
      </c>
      <c r="K17" s="36">
        <f t="shared" ca="1" si="3"/>
        <v>-34</v>
      </c>
      <c r="L17" s="36">
        <f t="shared" ca="1" si="3"/>
        <v>-70</v>
      </c>
      <c r="M17" s="36">
        <f t="shared" ca="1" si="3"/>
        <v>-5</v>
      </c>
      <c r="N17" s="37">
        <f t="shared" ca="1" si="3"/>
        <v>-35</v>
      </c>
      <c r="O17" s="38">
        <f ca="1">SUM(Var_OfficeCosts[[#This Row],[JANUARY]:[DECEMBER]])</f>
        <v>-364</v>
      </c>
    </row>
    <row r="18" spans="1:15" s="8" customFormat="1" ht="24" customHeight="1" x14ac:dyDescent="0.35">
      <c r="A18" s="7"/>
      <c r="B18" s="35" t="s">
        <v>12</v>
      </c>
      <c r="C18" s="36">
        <f t="shared" ca="1" si="4"/>
        <v>0</v>
      </c>
      <c r="D18" s="36">
        <f t="shared" ca="1" si="3"/>
        <v>0</v>
      </c>
      <c r="E18" s="36">
        <f t="shared" ca="1" si="3"/>
        <v>0</v>
      </c>
      <c r="F18" s="36">
        <f t="shared" ca="1" si="3"/>
        <v>0</v>
      </c>
      <c r="G18" s="36">
        <f t="shared" ca="1" si="3"/>
        <v>0</v>
      </c>
      <c r="H18" s="36">
        <f t="shared" ca="1" si="3"/>
        <v>0</v>
      </c>
      <c r="I18" s="36">
        <f t="shared" ca="1" si="3"/>
        <v>0</v>
      </c>
      <c r="J18" s="36">
        <f t="shared" ca="1" si="3"/>
        <v>0</v>
      </c>
      <c r="K18" s="36">
        <f t="shared" ca="1" si="3"/>
        <v>0</v>
      </c>
      <c r="L18" s="36">
        <f t="shared" ca="1" si="3"/>
        <v>0</v>
      </c>
      <c r="M18" s="36">
        <f t="shared" ca="1" si="3"/>
        <v>0</v>
      </c>
      <c r="N18" s="37">
        <f t="shared" ca="1" si="3"/>
        <v>0</v>
      </c>
      <c r="O18" s="38">
        <f ca="1">SUM(Var_OfficeCosts[[#This Row],[JANUARY]:[DECEMBER]])</f>
        <v>0</v>
      </c>
    </row>
    <row r="19" spans="1:15" ht="24" customHeight="1" x14ac:dyDescent="0.35"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7"/>
      <c r="O19" s="38"/>
    </row>
    <row r="20" spans="1:15" s="8" customFormat="1" ht="24" customHeight="1" x14ac:dyDescent="0.35">
      <c r="A20" s="7"/>
      <c r="B20" s="39" t="s">
        <v>13</v>
      </c>
      <c r="C20" s="40">
        <f ca="1">SUM(INDIRECT("Var_MarketingCosts["&amp;C$3&amp;"]"))</f>
        <v>555</v>
      </c>
      <c r="D20" s="40">
        <f t="shared" ref="D20:O20" ca="1" si="5">SUM(INDIRECT("Var_MarketingCosts["&amp;D$3&amp;"]"))</f>
        <v>-456</v>
      </c>
      <c r="E20" s="40">
        <f t="shared" ca="1" si="5"/>
        <v>-23</v>
      </c>
      <c r="F20" s="40">
        <f t="shared" ca="1" si="5"/>
        <v>-123</v>
      </c>
      <c r="G20" s="40">
        <f t="shared" ca="1" si="5"/>
        <v>113</v>
      </c>
      <c r="H20" s="40">
        <f t="shared" ca="1" si="5"/>
        <v>-825</v>
      </c>
      <c r="I20" s="40">
        <f t="shared" ca="1" si="5"/>
        <v>-100</v>
      </c>
      <c r="J20" s="40">
        <f t="shared" ca="1" si="5"/>
        <v>2860</v>
      </c>
      <c r="K20" s="40">
        <f t="shared" ca="1" si="5"/>
        <v>-6470</v>
      </c>
      <c r="L20" s="40">
        <f t="shared" ca="1" si="5"/>
        <v>3500</v>
      </c>
      <c r="M20" s="40">
        <f t="shared" ca="1" si="5"/>
        <v>-1570</v>
      </c>
      <c r="N20" s="41">
        <f t="shared" ca="1" si="5"/>
        <v>1300</v>
      </c>
      <c r="O20" s="42">
        <f t="shared" ca="1" si="5"/>
        <v>-1239</v>
      </c>
    </row>
    <row r="21" spans="1:15" ht="24" hidden="1" customHeight="1" x14ac:dyDescent="0.35">
      <c r="B21" s="95" t="s">
        <v>13</v>
      </c>
      <c r="C21" s="96" t="s">
        <v>52</v>
      </c>
      <c r="D21" s="96" t="s">
        <v>53</v>
      </c>
      <c r="E21" s="96" t="s">
        <v>54</v>
      </c>
      <c r="F21" s="96" t="s">
        <v>55</v>
      </c>
      <c r="G21" s="96" t="s">
        <v>56</v>
      </c>
      <c r="H21" s="96" t="s">
        <v>57</v>
      </c>
      <c r="I21" s="96" t="s">
        <v>58</v>
      </c>
      <c r="J21" s="96" t="s">
        <v>59</v>
      </c>
      <c r="K21" s="96" t="s">
        <v>60</v>
      </c>
      <c r="L21" s="96" t="s">
        <v>61</v>
      </c>
      <c r="M21" s="96" t="s">
        <v>62</v>
      </c>
      <c r="N21" s="96" t="s">
        <v>63</v>
      </c>
      <c r="O21" s="97" t="s">
        <v>64</v>
      </c>
    </row>
    <row r="22" spans="1:15" ht="24" customHeight="1" x14ac:dyDescent="0.35">
      <c r="B22" s="35" t="s">
        <v>14</v>
      </c>
      <c r="C22" s="36">
        <f ca="1">IF(INDIRECT("Actual_MarketingCosts["&amp;C$3&amp;"]")="","",INDIRECT("Plan_MarketingCosts["&amp;C$3&amp;"]")-INDIRECT("Actual_MarketingCosts["&amp;C$3&amp;"]"))</f>
        <v>0</v>
      </c>
      <c r="D22" s="36">
        <f t="shared" ref="D22:N27" ca="1" si="6">IF(INDIRECT("Actual_MarketingCosts["&amp;D$3&amp;"]")="","",INDIRECT("Plan_MarketingCosts["&amp;D$3&amp;"]")-INDIRECT("Actual_MarketingCosts["&amp;D$3&amp;"]"))</f>
        <v>0</v>
      </c>
      <c r="E22" s="36">
        <f t="shared" ca="1" si="6"/>
        <v>0</v>
      </c>
      <c r="F22" s="36">
        <f t="shared" ca="1" si="6"/>
        <v>0</v>
      </c>
      <c r="G22" s="36">
        <f t="shared" ca="1" si="6"/>
        <v>0</v>
      </c>
      <c r="H22" s="36">
        <f t="shared" ca="1" si="6"/>
        <v>0</v>
      </c>
      <c r="I22" s="36">
        <f t="shared" ca="1" si="6"/>
        <v>-50</v>
      </c>
      <c r="J22" s="36">
        <f t="shared" ca="1" si="6"/>
        <v>-50</v>
      </c>
      <c r="K22" s="36">
        <f t="shared" ca="1" si="6"/>
        <v>-50</v>
      </c>
      <c r="L22" s="36">
        <f t="shared" ca="1" si="6"/>
        <v>-50</v>
      </c>
      <c r="M22" s="36">
        <f t="shared" ca="1" si="6"/>
        <v>-50</v>
      </c>
      <c r="N22" s="37">
        <f t="shared" ca="1" si="6"/>
        <v>-50</v>
      </c>
      <c r="O22" s="38">
        <f ca="1">SUM(Var_MarketingCosts[[#This Row],[JANUARY]:[DECEMBER]])</f>
        <v>-300</v>
      </c>
    </row>
    <row r="23" spans="1:15" ht="24" customHeight="1" x14ac:dyDescent="0.35">
      <c r="B23" s="35" t="s">
        <v>15</v>
      </c>
      <c r="C23" s="36">
        <f t="shared" ref="C23:C27" ca="1" si="7">IF(INDIRECT("Actual_MarketingCosts["&amp;C$3&amp;"]")="","",INDIRECT("Plan_MarketingCosts["&amp;C$3&amp;"]")-INDIRECT("Actual_MarketingCosts["&amp;C$3&amp;"]"))</f>
        <v>0</v>
      </c>
      <c r="D23" s="36">
        <f t="shared" ca="1" si="6"/>
        <v>0</v>
      </c>
      <c r="E23" s="36">
        <f t="shared" ca="1" si="6"/>
        <v>0</v>
      </c>
      <c r="F23" s="36">
        <f t="shared" ca="1" si="6"/>
        <v>0</v>
      </c>
      <c r="G23" s="36">
        <f t="shared" ca="1" si="6"/>
        <v>0</v>
      </c>
      <c r="H23" s="36">
        <f t="shared" ca="1" si="6"/>
        <v>-500</v>
      </c>
      <c r="I23" s="36">
        <f t="shared" ca="1" si="6"/>
        <v>0</v>
      </c>
      <c r="J23" s="36">
        <f t="shared" ca="1" si="6"/>
        <v>0</v>
      </c>
      <c r="K23" s="36">
        <f t="shared" ca="1" si="6"/>
        <v>0</v>
      </c>
      <c r="L23" s="36">
        <f t="shared" ca="1" si="6"/>
        <v>0</v>
      </c>
      <c r="M23" s="36">
        <f t="shared" ca="1" si="6"/>
        <v>0</v>
      </c>
      <c r="N23" s="37">
        <f t="shared" ca="1" si="6"/>
        <v>800</v>
      </c>
      <c r="O23" s="38">
        <f ca="1">SUM(Var_MarketingCosts[[#This Row],[JANUARY]:[DECEMBER]])</f>
        <v>300</v>
      </c>
    </row>
    <row r="24" spans="1:15" ht="24" customHeight="1" x14ac:dyDescent="0.35">
      <c r="B24" s="35" t="s">
        <v>16</v>
      </c>
      <c r="C24" s="36">
        <f t="shared" ca="1" si="7"/>
        <v>200</v>
      </c>
      <c r="D24" s="36">
        <f t="shared" ca="1" si="6"/>
        <v>0</v>
      </c>
      <c r="E24" s="36">
        <f t="shared" ca="1" si="6"/>
        <v>0</v>
      </c>
      <c r="F24" s="36">
        <f t="shared" ca="1" si="6"/>
        <v>-500</v>
      </c>
      <c r="G24" s="36">
        <f t="shared" ca="1" si="6"/>
        <v>0</v>
      </c>
      <c r="H24" s="36">
        <f t="shared" ca="1" si="6"/>
        <v>0</v>
      </c>
      <c r="I24" s="36">
        <f t="shared" ca="1" si="6"/>
        <v>5000</v>
      </c>
      <c r="J24" s="36">
        <f t="shared" ca="1" si="6"/>
        <v>0</v>
      </c>
      <c r="K24" s="36">
        <f t="shared" ca="1" si="6"/>
        <v>-6000</v>
      </c>
      <c r="L24" s="36">
        <f t="shared" ca="1" si="6"/>
        <v>5000</v>
      </c>
      <c r="M24" s="36">
        <f t="shared" ca="1" si="6"/>
        <v>-1500</v>
      </c>
      <c r="N24" s="37">
        <f t="shared" ca="1" si="6"/>
        <v>-3000</v>
      </c>
      <c r="O24" s="38">
        <f ca="1">SUM(Var_MarketingCosts[[#This Row],[JANUARY]:[DECEMBER]])</f>
        <v>-800</v>
      </c>
    </row>
    <row r="25" spans="1:15" ht="24" customHeight="1" x14ac:dyDescent="0.35">
      <c r="B25" s="35" t="s">
        <v>17</v>
      </c>
      <c r="C25" s="36">
        <f t="shared" ca="1" si="7"/>
        <v>100</v>
      </c>
      <c r="D25" s="36">
        <f t="shared" ca="1" si="6"/>
        <v>-300</v>
      </c>
      <c r="E25" s="36">
        <f t="shared" ca="1" si="6"/>
        <v>100</v>
      </c>
      <c r="F25" s="36">
        <f t="shared" ca="1" si="6"/>
        <v>100</v>
      </c>
      <c r="G25" s="36">
        <f t="shared" ca="1" si="6"/>
        <v>-400</v>
      </c>
      <c r="H25" s="36">
        <f t="shared" ca="1" si="6"/>
        <v>20</v>
      </c>
      <c r="I25" s="36">
        <f t="shared" ca="1" si="6"/>
        <v>0</v>
      </c>
      <c r="J25" s="36">
        <f t="shared" ca="1" si="6"/>
        <v>50</v>
      </c>
      <c r="K25" s="36">
        <f t="shared" ca="1" si="6"/>
        <v>100</v>
      </c>
      <c r="L25" s="36">
        <f t="shared" ca="1" si="6"/>
        <v>0</v>
      </c>
      <c r="M25" s="36">
        <f t="shared" ca="1" si="6"/>
        <v>-50</v>
      </c>
      <c r="N25" s="37">
        <f t="shared" ca="1" si="6"/>
        <v>50</v>
      </c>
      <c r="O25" s="38">
        <f ca="1">SUM(Var_MarketingCosts[[#This Row],[JANUARY]:[DECEMBER]])</f>
        <v>-230</v>
      </c>
    </row>
    <row r="26" spans="1:15" ht="24" customHeight="1" x14ac:dyDescent="0.35">
      <c r="B26" s="35" t="s">
        <v>18</v>
      </c>
      <c r="C26" s="36">
        <f t="shared" ca="1" si="7"/>
        <v>200</v>
      </c>
      <c r="D26" s="36">
        <f t="shared" ca="1" si="6"/>
        <v>-200</v>
      </c>
      <c r="E26" s="36">
        <f t="shared" ca="1" si="6"/>
        <v>-200</v>
      </c>
      <c r="F26" s="36">
        <f t="shared" ca="1" si="6"/>
        <v>300</v>
      </c>
      <c r="G26" s="36">
        <f t="shared" ca="1" si="6"/>
        <v>500</v>
      </c>
      <c r="H26" s="36">
        <f t="shared" ca="1" si="6"/>
        <v>-300</v>
      </c>
      <c r="I26" s="36">
        <f t="shared" ca="1" si="6"/>
        <v>-5000</v>
      </c>
      <c r="J26" s="36">
        <f t="shared" ca="1" si="6"/>
        <v>3000</v>
      </c>
      <c r="K26" s="36">
        <f t="shared" ca="1" si="6"/>
        <v>-500</v>
      </c>
      <c r="L26" s="36">
        <f t="shared" ca="1" si="6"/>
        <v>-1500</v>
      </c>
      <c r="M26" s="36">
        <f t="shared" ca="1" si="6"/>
        <v>0</v>
      </c>
      <c r="N26" s="37">
        <f t="shared" ca="1" si="6"/>
        <v>3500</v>
      </c>
      <c r="O26" s="38">
        <f ca="1">SUM(Var_MarketingCosts[[#This Row],[JANUARY]:[DECEMBER]])</f>
        <v>-200</v>
      </c>
    </row>
    <row r="27" spans="1:15" ht="24" customHeight="1" x14ac:dyDescent="0.35">
      <c r="B27" s="35" t="s">
        <v>19</v>
      </c>
      <c r="C27" s="36">
        <f t="shared" ca="1" si="7"/>
        <v>55</v>
      </c>
      <c r="D27" s="36">
        <f t="shared" ca="1" si="6"/>
        <v>44</v>
      </c>
      <c r="E27" s="36">
        <f t="shared" ca="1" si="6"/>
        <v>77</v>
      </c>
      <c r="F27" s="36">
        <f t="shared" ca="1" si="6"/>
        <v>-23</v>
      </c>
      <c r="G27" s="36">
        <f t="shared" ca="1" si="6"/>
        <v>13</v>
      </c>
      <c r="H27" s="36">
        <f t="shared" ca="1" si="6"/>
        <v>-45</v>
      </c>
      <c r="I27" s="36">
        <f t="shared" ca="1" si="6"/>
        <v>-50</v>
      </c>
      <c r="J27" s="36">
        <f t="shared" ca="1" si="6"/>
        <v>-140</v>
      </c>
      <c r="K27" s="36">
        <f t="shared" ca="1" si="6"/>
        <v>-20</v>
      </c>
      <c r="L27" s="36">
        <f t="shared" ca="1" si="6"/>
        <v>50</v>
      </c>
      <c r="M27" s="36">
        <f t="shared" ca="1" si="6"/>
        <v>30</v>
      </c>
      <c r="N27" s="37">
        <f t="shared" ca="1" si="6"/>
        <v>0</v>
      </c>
      <c r="O27" s="38">
        <f ca="1">SUM(Var_MarketingCosts[[#This Row],[JANUARY]:[DECEMBER]])</f>
        <v>-9</v>
      </c>
    </row>
    <row r="28" spans="1:15" ht="24" customHeight="1" x14ac:dyDescent="0.35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38"/>
    </row>
    <row r="29" spans="1:15" s="8" customFormat="1" ht="24" customHeight="1" x14ac:dyDescent="0.35">
      <c r="A29" s="7"/>
      <c r="B29" s="39" t="s">
        <v>35</v>
      </c>
      <c r="C29" s="40">
        <f ca="1">SUM(INDIRECT("Var_TrainingTravel["&amp;C$3&amp;"]"))</f>
        <v>1200</v>
      </c>
      <c r="D29" s="40">
        <f t="shared" ref="D29:O29" ca="1" si="8">SUM(INDIRECT("Var_TrainingTravel["&amp;D$3&amp;"]"))</f>
        <v>-600</v>
      </c>
      <c r="E29" s="40">
        <f t="shared" ca="1" si="8"/>
        <v>1200</v>
      </c>
      <c r="F29" s="40">
        <f t="shared" ca="1" si="8"/>
        <v>1200</v>
      </c>
      <c r="G29" s="40">
        <f t="shared" ca="1" si="8"/>
        <v>2000</v>
      </c>
      <c r="H29" s="40">
        <f t="shared" ca="1" si="8"/>
        <v>-2300</v>
      </c>
      <c r="I29" s="40">
        <f t="shared" ca="1" si="8"/>
        <v>500</v>
      </c>
      <c r="J29" s="40">
        <f t="shared" ca="1" si="8"/>
        <v>-500</v>
      </c>
      <c r="K29" s="40">
        <f t="shared" ca="1" si="8"/>
        <v>-200</v>
      </c>
      <c r="L29" s="40">
        <f t="shared" ca="1" si="8"/>
        <v>-1200</v>
      </c>
      <c r="M29" s="40">
        <f t="shared" ca="1" si="8"/>
        <v>-400</v>
      </c>
      <c r="N29" s="41">
        <f t="shared" ca="1" si="8"/>
        <v>1700</v>
      </c>
      <c r="O29" s="42">
        <f t="shared" ca="1" si="8"/>
        <v>2600</v>
      </c>
    </row>
    <row r="30" spans="1:15" ht="24" hidden="1" customHeight="1" x14ac:dyDescent="0.35">
      <c r="B30" s="95" t="s">
        <v>65</v>
      </c>
      <c r="C30" s="96" t="s">
        <v>52</v>
      </c>
      <c r="D30" s="96" t="s">
        <v>53</v>
      </c>
      <c r="E30" s="96" t="s">
        <v>54</v>
      </c>
      <c r="F30" s="96" t="s">
        <v>55</v>
      </c>
      <c r="G30" s="96" t="s">
        <v>56</v>
      </c>
      <c r="H30" s="96" t="s">
        <v>57</v>
      </c>
      <c r="I30" s="96" t="s">
        <v>58</v>
      </c>
      <c r="J30" s="96" t="s">
        <v>59</v>
      </c>
      <c r="K30" s="96" t="s">
        <v>60</v>
      </c>
      <c r="L30" s="96" t="s">
        <v>61</v>
      </c>
      <c r="M30" s="96" t="s">
        <v>62</v>
      </c>
      <c r="N30" s="96" t="s">
        <v>63</v>
      </c>
      <c r="O30" s="97" t="s">
        <v>64</v>
      </c>
    </row>
    <row r="31" spans="1:15" ht="24" customHeight="1" x14ac:dyDescent="0.35">
      <c r="B31" s="35" t="s">
        <v>20</v>
      </c>
      <c r="C31" s="36">
        <f ca="1">IF(INDIRECT("Actual_TrainingTravel["&amp;C$3&amp;"]")="","",INDIRECT("Plan_TrainingTravel["&amp;C$3&amp;"]")-INDIRECT("Actual_TrainingTravel["&amp;C$3&amp;"]"))</f>
        <v>400</v>
      </c>
      <c r="D31" s="36">
        <f t="shared" ref="D31:N32" ca="1" si="9">IF(INDIRECT("Actual_TrainingTravel["&amp;D$3&amp;"]")="","",INDIRECT("Plan_TrainingTravel["&amp;D$3&amp;"]")-INDIRECT("Actual_TrainingTravel["&amp;D$3&amp;"]"))</f>
        <v>-400</v>
      </c>
      <c r="E31" s="36">
        <f t="shared" ca="1" si="9"/>
        <v>600</v>
      </c>
      <c r="F31" s="36">
        <f t="shared" ca="1" si="9"/>
        <v>400</v>
      </c>
      <c r="G31" s="36">
        <f t="shared" ca="1" si="9"/>
        <v>800</v>
      </c>
      <c r="H31" s="36">
        <f t="shared" ca="1" si="9"/>
        <v>-800</v>
      </c>
      <c r="I31" s="36">
        <f t="shared" ca="1" si="9"/>
        <v>500</v>
      </c>
      <c r="J31" s="36">
        <f t="shared" ca="1" si="9"/>
        <v>-1000</v>
      </c>
      <c r="K31" s="36">
        <f t="shared" ca="1" si="9"/>
        <v>400</v>
      </c>
      <c r="L31" s="36">
        <f t="shared" ca="1" si="9"/>
        <v>800</v>
      </c>
      <c r="M31" s="36">
        <f t="shared" ca="1" si="9"/>
        <v>-1400</v>
      </c>
      <c r="N31" s="37">
        <f t="shared" ca="1" si="9"/>
        <v>1800</v>
      </c>
      <c r="O31" s="38">
        <f ca="1">SUM(Var_TrainingTravel[[#This Row],[JANUARY]:[DECEMBER]])</f>
        <v>2100</v>
      </c>
    </row>
    <row r="32" spans="1:15" ht="24" customHeight="1" x14ac:dyDescent="0.35">
      <c r="B32" s="35" t="s">
        <v>34</v>
      </c>
      <c r="C32" s="36">
        <f t="shared" ref="C32" ca="1" si="10">IF(INDIRECT("Actual_TrainingTravel["&amp;C$3&amp;"]")="","",INDIRECT("Plan_TrainingTravel["&amp;C$3&amp;"]")-INDIRECT("Actual_TrainingTravel["&amp;C$3&amp;"]"))</f>
        <v>800</v>
      </c>
      <c r="D32" s="36">
        <f t="shared" ca="1" si="9"/>
        <v>-200</v>
      </c>
      <c r="E32" s="36">
        <f t="shared" ca="1" si="9"/>
        <v>600</v>
      </c>
      <c r="F32" s="36">
        <f t="shared" ca="1" si="9"/>
        <v>800</v>
      </c>
      <c r="G32" s="36">
        <f t="shared" ca="1" si="9"/>
        <v>1200</v>
      </c>
      <c r="H32" s="36">
        <f t="shared" ca="1" si="9"/>
        <v>-1500</v>
      </c>
      <c r="I32" s="36">
        <f t="shared" ca="1" si="9"/>
        <v>0</v>
      </c>
      <c r="J32" s="36">
        <f t="shared" ca="1" si="9"/>
        <v>500</v>
      </c>
      <c r="K32" s="36">
        <f t="shared" ca="1" si="9"/>
        <v>-600</v>
      </c>
      <c r="L32" s="36">
        <f t="shared" ca="1" si="9"/>
        <v>-2000</v>
      </c>
      <c r="M32" s="36">
        <f t="shared" ca="1" si="9"/>
        <v>1000</v>
      </c>
      <c r="N32" s="37">
        <f t="shared" ca="1" si="9"/>
        <v>-100</v>
      </c>
      <c r="O32" s="38">
        <f ca="1">SUM(Var_TrainingTravel[[#This Row],[JANUARY]:[DECEMBER]])</f>
        <v>500</v>
      </c>
    </row>
    <row r="33" spans="2:15" ht="24" customHeight="1" x14ac:dyDescent="0.35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7"/>
      <c r="O33" s="38"/>
    </row>
    <row r="34" spans="2:15" ht="36" customHeight="1" x14ac:dyDescent="0.35">
      <c r="B34" s="92" t="s">
        <v>39</v>
      </c>
      <c r="C34" s="93">
        <f t="shared" ref="C34:O34" ca="1" si="11">C4+C9+C20+C29</f>
        <v>1738</v>
      </c>
      <c r="D34" s="93">
        <f t="shared" ca="1" si="11"/>
        <v>-984</v>
      </c>
      <c r="E34" s="93">
        <f t="shared" ca="1" si="11"/>
        <v>1255</v>
      </c>
      <c r="F34" s="93">
        <f t="shared" ca="1" si="11"/>
        <v>301</v>
      </c>
      <c r="G34" s="93">
        <f t="shared" ca="1" si="11"/>
        <v>1440</v>
      </c>
      <c r="H34" s="93">
        <f t="shared" ca="1" si="11"/>
        <v>-3744</v>
      </c>
      <c r="I34" s="93">
        <f t="shared" ca="1" si="11"/>
        <v>-1875</v>
      </c>
      <c r="J34" s="93">
        <f t="shared" ca="1" si="11"/>
        <v>11534</v>
      </c>
      <c r="K34" s="93">
        <f t="shared" ca="1" si="11"/>
        <v>-1221</v>
      </c>
      <c r="L34" s="93">
        <f t="shared" ca="1" si="11"/>
        <v>6688</v>
      </c>
      <c r="M34" s="93">
        <f t="shared" ca="1" si="11"/>
        <v>7698</v>
      </c>
      <c r="N34" s="93">
        <f t="shared" ca="1" si="11"/>
        <v>8628</v>
      </c>
      <c r="O34" s="94">
        <f t="shared" ca="1" si="11"/>
        <v>31458</v>
      </c>
    </row>
  </sheetData>
  <conditionalFormatting sqref="B4:O4 B6:O9 B11:O20 B22:O29 B31:O33">
    <cfRule type="cellIs" dxfId="4" priority="5" operator="lessThan">
      <formula>0</formula>
    </cfRule>
  </conditionalFormatting>
  <conditionalFormatting sqref="B34:O34">
    <cfRule type="cellIs" dxfId="3" priority="1" operator="lessThan">
      <formula>0</formula>
    </cfRule>
  </conditionalFormatting>
  <conditionalFormatting sqref="C9:O9">
    <cfRule type="cellIs" dxfId="2" priority="4" operator="lessThan">
      <formula>0</formula>
    </cfRule>
  </conditionalFormatting>
  <conditionalFormatting sqref="C20:O20">
    <cfRule type="cellIs" dxfId="1" priority="3" operator="lessThan">
      <formula>0</formula>
    </cfRule>
  </conditionalFormatting>
  <conditionalFormatting sqref="C29:O29">
    <cfRule type="cellIs" dxfId="0" priority="2" operator="lessThan">
      <formula>0</formula>
    </cfRule>
  </conditionalFormatting>
  <printOptions horizontalCentered="1"/>
  <pageMargins left="0.3" right="0.3" top="0.5" bottom="0.5" header="0.3" footer="0.3"/>
  <pageSetup scale="61" orientation="landscape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6"/>
  <sheetViews>
    <sheetView showGridLines="0" tabSelected="1" topLeftCell="A6" zoomScaleNormal="100" workbookViewId="0">
      <selection activeCell="P16" sqref="P16"/>
    </sheetView>
  </sheetViews>
  <sheetFormatPr defaultColWidth="11.6640625" defaultRowHeight="24" customHeight="1" x14ac:dyDescent="0.35"/>
  <cols>
    <col min="1" max="1" width="1.6640625" style="9" customWidth="1"/>
    <col min="2" max="2" width="20.44140625" style="64" customWidth="1"/>
    <col min="3" max="3" width="22.6640625" style="65" customWidth="1"/>
    <col min="4" max="4" width="19.21875" style="65" customWidth="1"/>
    <col min="5" max="5" width="12.77734375" style="65" customWidth="1"/>
    <col min="6" max="6" width="12.77734375" style="66" customWidth="1"/>
    <col min="7" max="8" width="2.6640625" style="10" customWidth="1"/>
    <col min="9" max="9" width="19.109375" style="11" customWidth="1"/>
    <col min="10" max="11" width="11.6640625" style="11"/>
    <col min="12" max="12" width="11.6640625" style="10"/>
    <col min="13" max="13" width="1.6640625" style="11" customWidth="1"/>
    <col min="14" max="16384" width="11.6640625" style="11"/>
  </cols>
  <sheetData>
    <row r="1" spans="1:16" s="4" customFormat="1" ht="45.75" customHeight="1" x14ac:dyDescent="0.35">
      <c r="B1" s="77" t="s">
        <v>40</v>
      </c>
      <c r="C1" s="53"/>
      <c r="D1" s="53"/>
      <c r="E1" s="53"/>
      <c r="F1" s="51"/>
      <c r="G1" s="5"/>
      <c r="H1" s="5"/>
      <c r="L1" s="5"/>
    </row>
    <row r="2" spans="1:16" s="48" customFormat="1" ht="24.9" customHeight="1" x14ac:dyDescent="0.35">
      <c r="A2" s="46"/>
      <c r="B2" s="48" t="str">
        <f ca="1">"  Analysis of data from January to " &amp; PROPER(INDEX('Actual Expenses'!C3:N3,1,MonthsWithActual))</f>
        <v xml:space="preserve">  Analysis of data from January to December</v>
      </c>
      <c r="C2" s="54"/>
      <c r="D2" s="54"/>
      <c r="E2" s="54"/>
      <c r="F2" s="49"/>
      <c r="G2" s="47"/>
      <c r="H2" s="47"/>
      <c r="L2" s="47"/>
    </row>
    <row r="3" spans="1:16" s="3" customFormat="1" ht="24.9" customHeight="1" x14ac:dyDescent="0.35">
      <c r="A3" s="1"/>
      <c r="B3" s="17"/>
      <c r="C3" s="52"/>
      <c r="D3" s="52"/>
      <c r="E3" s="52"/>
      <c r="F3" s="50"/>
      <c r="G3" s="2"/>
      <c r="H3" s="20"/>
      <c r="L3" s="2"/>
    </row>
    <row r="4" spans="1:16" s="68" customFormat="1" ht="24.9" customHeight="1" x14ac:dyDescent="0.35">
      <c r="A4" s="67"/>
      <c r="B4" s="68" t="s">
        <v>48</v>
      </c>
      <c r="C4" s="69"/>
      <c r="D4" s="69"/>
      <c r="E4" s="69"/>
      <c r="F4" s="70"/>
      <c r="G4" s="71"/>
      <c r="H4" s="72"/>
      <c r="I4" s="68" t="s">
        <v>49</v>
      </c>
      <c r="L4" s="71"/>
    </row>
    <row r="5" spans="1:16" s="57" customFormat="1" ht="39.9" customHeight="1" x14ac:dyDescent="0.35">
      <c r="A5" s="55"/>
      <c r="G5" s="56"/>
      <c r="H5" s="73"/>
    </row>
    <row r="6" spans="1:16" ht="39.9" customHeight="1" x14ac:dyDescent="0.35">
      <c r="B6" s="11"/>
      <c r="C6" s="11"/>
      <c r="D6" s="11"/>
      <c r="E6" s="11"/>
      <c r="F6" s="11"/>
      <c r="H6" s="74"/>
    </row>
    <row r="7" spans="1:16" ht="39.9" customHeight="1" x14ac:dyDescent="0.35">
      <c r="B7" s="11"/>
      <c r="C7" s="11"/>
      <c r="D7" s="11"/>
      <c r="E7" s="11"/>
      <c r="F7" s="11"/>
      <c r="H7" s="74"/>
    </row>
    <row r="8" spans="1:16" ht="39.9" customHeight="1" x14ac:dyDescent="0.35">
      <c r="B8" s="11"/>
      <c r="C8" s="11"/>
      <c r="D8" s="11"/>
      <c r="E8" s="11"/>
      <c r="F8" s="11"/>
      <c r="H8" s="74"/>
    </row>
    <row r="9" spans="1:16" ht="39.9" customHeight="1" x14ac:dyDescent="0.35">
      <c r="B9" s="11"/>
      <c r="C9" s="11"/>
      <c r="D9" s="11"/>
      <c r="E9" s="11"/>
      <c r="F9" s="11"/>
      <c r="H9" s="74"/>
    </row>
    <row r="10" spans="1:16" ht="9" customHeight="1" x14ac:dyDescent="0.35">
      <c r="H10" s="74"/>
    </row>
    <row r="11" spans="1:16" ht="36.75" customHeight="1" x14ac:dyDescent="0.35">
      <c r="B11" s="75" t="s">
        <v>41</v>
      </c>
      <c r="C11" s="76" t="s">
        <v>0</v>
      </c>
      <c r="D11" s="76" t="s">
        <v>36</v>
      </c>
      <c r="E11" s="76" t="s">
        <v>46</v>
      </c>
      <c r="F11" s="76" t="s">
        <v>47</v>
      </c>
      <c r="H11" s="74"/>
    </row>
    <row r="12" spans="1:16" ht="31.5" customHeight="1" x14ac:dyDescent="0.35">
      <c r="B12" s="61" t="s">
        <v>42</v>
      </c>
      <c r="C12" s="62">
        <f ca="1">SUM(OFFSET('Planned Expenses'!C4,0,0,1,MonthsWithActual))</f>
        <v>1355090</v>
      </c>
      <c r="D12" s="62">
        <f ca="1">SUM(OFFSET('Actual Expenses'!C4,0,0,1,MonthsWithActual))</f>
        <v>1324150</v>
      </c>
      <c r="E12" s="62">
        <f ca="1">C12-D12</f>
        <v>30940</v>
      </c>
      <c r="F12" s="63">
        <f ca="1">E12/C12</f>
        <v>2.2832431794198173E-2</v>
      </c>
      <c r="H12" s="74"/>
    </row>
    <row r="13" spans="1:16" ht="31.5" customHeight="1" x14ac:dyDescent="0.35">
      <c r="B13" s="58" t="s">
        <v>43</v>
      </c>
      <c r="C13" s="59">
        <f ca="1">SUM(OFFSET('Planned Expenses'!C9,0,0,1,MonthsWithActual))</f>
        <v>138740</v>
      </c>
      <c r="D13" s="59">
        <f ca="1">SUM(OFFSET('Actual Expenses'!C9,0,0,1,MonthsWithActual))</f>
        <v>139583</v>
      </c>
      <c r="E13" s="59">
        <f t="shared" ref="E13:E15" ca="1" si="0">C13-D13</f>
        <v>-843</v>
      </c>
      <c r="F13" s="60">
        <f t="shared" ref="F13:F15" ca="1" si="1">E13/C13</f>
        <v>-6.0761135937725244E-3</v>
      </c>
      <c r="H13" s="74"/>
    </row>
    <row r="14" spans="1:16" ht="31.5" customHeight="1" x14ac:dyDescent="0.35">
      <c r="B14" s="61" t="s">
        <v>44</v>
      </c>
      <c r="C14" s="62">
        <f ca="1">SUM(OFFSET('Planned Expenses'!C20,0,0,1,MonthsWithActual))</f>
        <v>67800</v>
      </c>
      <c r="D14" s="62">
        <f ca="1">SUM(OFFSET('Actual Expenses'!C20,0,0,1,MonthsWithActual))</f>
        <v>69039</v>
      </c>
      <c r="E14" s="62">
        <f t="shared" ca="1" si="0"/>
        <v>-1239</v>
      </c>
      <c r="F14" s="63">
        <f t="shared" ca="1" si="1"/>
        <v>-1.8274336283185841E-2</v>
      </c>
      <c r="H14" s="74"/>
    </row>
    <row r="15" spans="1:16" ht="31.5" customHeight="1" x14ac:dyDescent="0.35">
      <c r="B15" s="58" t="s">
        <v>45</v>
      </c>
      <c r="C15" s="59">
        <f ca="1">SUM(OFFSET('Planned Expenses'!C29,0,0,1,MonthsWithActual))</f>
        <v>48000</v>
      </c>
      <c r="D15" s="59">
        <f ca="1">SUM(OFFSET('Actual Expenses'!C29,0,0,1,MonthsWithActual))</f>
        <v>45400</v>
      </c>
      <c r="E15" s="59">
        <f t="shared" ca="1" si="0"/>
        <v>2600</v>
      </c>
      <c r="F15" s="60">
        <f t="shared" ca="1" si="1"/>
        <v>5.4166666666666669E-2</v>
      </c>
      <c r="H15" s="74"/>
    </row>
    <row r="16" spans="1:16" ht="24" customHeight="1" x14ac:dyDescent="0.35">
      <c r="H16" s="74"/>
      <c r="P16" s="11" t="s">
        <v>66</v>
      </c>
    </row>
  </sheetData>
  <printOptions horizontalCentered="1"/>
  <pageMargins left="0.3" right="0.3" top="0.5" bottom="0.5" header="0.3" footer="0.3"/>
  <pageSetup scale="9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Props1.xml><?xml version="1.0" encoding="utf-8"?>
<ds:datastoreItem xmlns:ds="http://schemas.openxmlformats.org/officeDocument/2006/customXml" ds:itemID="{A8BE0662-114A-4767-8868-86E7168C2A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88CBBE-46B3-4B00-9FAB-AF0BADB37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225E40-A82C-4E12-B883-DED9189A4DEE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TM45068695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Planned Expenses</vt:lpstr>
      <vt:lpstr>Actual Expenses</vt:lpstr>
      <vt:lpstr>Expense Variances</vt:lpstr>
      <vt:lpstr>Expenses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2019-06-19T20:28:09Z</dcterms:created>
  <dcterms:modified xsi:type="dcterms:W3CDTF">2026-03-01T05:02:59Z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